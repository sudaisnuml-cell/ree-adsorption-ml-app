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0f529b03b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52038cc1ad4246"/>
    <x:sheet xmlns:r="http://schemas.openxmlformats.org/officeDocument/2006/relationships" name="Model_Dataset" sheetId="2" r:id="Rbd570846bd36449b"/>
    <x:sheet xmlns:r="http://schemas.openxmlformats.org/officeDocument/2006/relationships" name="Raw_Extracted" sheetId="3" r:id="R2f73b06d9a1144fd"/>
    <x:sheet xmlns:r="http://schemas.openxmlformats.org/officeDocument/2006/relationships" name="Metadata" sheetId="4" r:id="Rd2822fa7a8324354"/>
    <x:sheet xmlns:r="http://schemas.openxmlformats.org/officeDocument/2006/relationships" name="Checks" sheetId="5" r:id="R56d3983dbf0c4337"/>
    <x:sheet xmlns:r="http://schemas.openxmlformats.org/officeDocument/2006/relationships" name="ML_Ready" sheetId="6" r:id="R184f962c74b145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"/>
    <x:numFmt numFmtId="202" formatCode="0.000"/>
    <x:numFmt numFmtId="203" formatCode="0.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  <x:font>
      <x:b/>
      <x:sz val="11"/>
      <x:color rgb="FF9C5700"/>
      <x:name val="Carlito"/>
    </x:font>
    <x:font>
      <x:b/>
      <x:sz val="11"/>
      <x:color rgb="FF595959"/>
      <x:name val="Carlito"/>
    </x:font>
    <x:font>
      <x:sz val="11"/>
      <x:name val="Carlito"/>
    </x:font>
  </x:fonts>
  <x:fills count="2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F8C8D"/>
      </x:patternFill>
    </x:fill>
    <x:fill>
      <x:patternFill patternType="solid">
        <x:fgColor rgb="FFD9D9D9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A5A5A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3F9EF"/>
      </x:patternFill>
    </x:fill>
    <x:fill>
      <x:patternFill patternType="solid">
        <x:fgColor rgb="FFFFF2E8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4" fillId="8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horizontal="center"/>
    </x:xf>
    <x:xf numFmtId="0" fontId="5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/>
    <x:xf numFmtId="0" fontId="6" fillId="18" borderId="0" xfId="0" applyNumberFormat="1" applyFont="1" applyFill="1" applyBorder="1"/>
    <x:xf numFmtId="0" fontId="6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0" xfId="0" applyNumberFormat="1" applyFont="1" applyFill="1" applyBorder="1" applyAlignment="1">
      <x:alignment wrapText="1"/>
    </x:xf>
    <x:xf numFmtId="0" fontId="9" fillId="21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 applyAlignment="1">
      <x:alignment wrapText="1"/>
    </x:xf>
    <x:xf numFmtId="201" fontId="0" fillId="22" borderId="0" xfId="0" applyNumberFormat="1" applyFont="1" applyFill="1" applyBorder="1" applyAlignment="1">
      <x:alignment wrapText="1"/>
    </x:xf>
    <x:xf numFmtId="203" fontId="0" fillId="22" borderId="0" xfId="0" applyNumberFormat="1" applyFont="1" applyFill="1" applyBorder="1" applyAlignment="1">
      <x:alignment wrapText="1"/>
    </x:xf>
    <x:xf numFmtId="202" fontId="0" fillId="23" borderId="0" xfId="0" applyNumberFormat="1" applyFont="1" applyFill="1" applyBorder="1" applyAlignment="1">
      <x:alignment wrapText="1"/>
    </x:xf>
    <x:xf numFmtId="201" fontId="0" fillId="24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2" fillId="2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 wrapText="1"/>
    </x:xf>
    <x:xf numFmtId="0" fontId="2" fillId="2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3b89a95cd46ab" /><Relationship Type="http://schemas.openxmlformats.org/officeDocument/2006/relationships/theme" Target="/xl/theme/theme1.xml" Id="Re078ffd9a0014aed" /><Relationship Type="http://schemas.microsoft.com/office/2022/11/relationships/FeaturePropertyBag" Target="/xl/featurePropertyBag/featurePropertyBag.xml" Id="Rbe8894a3b4404027" /><Relationship Type="http://schemas.openxmlformats.org/officeDocument/2006/relationships/sharedStrings" Target="/xl/sharedStrings.xml" Id="R45e77a6e80274f4b" /><Relationship Type="http://schemas.openxmlformats.org/officeDocument/2006/relationships/worksheet" Target="/xl/worksheets/sheet1.xml" Id="Rde52038cc1ad4246" /><Relationship Type="http://schemas.openxmlformats.org/officeDocument/2006/relationships/worksheet" Target="/xl/worksheets/sheet2.xml" Id="Rbd570846bd36449b" /><Relationship Type="http://schemas.openxmlformats.org/officeDocument/2006/relationships/worksheet" Target="/xl/worksheets/sheet3.xml" Id="R2f73b06d9a1144fd" /><Relationship Type="http://schemas.openxmlformats.org/officeDocument/2006/relationships/worksheet" Target="/xl/worksheets/sheet4.xml" Id="Rd2822fa7a8324354" /><Relationship Type="http://schemas.openxmlformats.org/officeDocument/2006/relationships/worksheet" Target="/xl/worksheets/sheet5.xml" Id="R56d3983dbf0c4337" /><Relationship Type="http://schemas.openxmlformats.org/officeDocument/2006/relationships/worksheet" Target="/xl/worksheets/sheet6.xml" Id="R184f962c74b145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delDatasetTable" displayName="ModelDatasetTable" ref="A1:T113" headerRowCount="1" totalsRowCount="0" totalsRowShown="0">
  <x:tableColumns count="20">
    <x:tableColumn id="1" name="Row_ID"/>
    <x:tableColumn id="2" name="Metal"/>
    <x:tableColumn id="3" name="Adsorbent"/>
    <x:tableColumn id="4" name="Functionalization"/>
    <x:tableColumn id="5" name="System"/>
    <x:tableColumn id="6" name="Replicate"/>
    <x:tableColumn id="7" name="Experiment"/>
    <x:tableColumn id="8" name="pH0"/>
    <x:tableColumn id="9" name="Contact_Time_min"/>
    <x:tableColumn id="10" name="C0_mg_L"/>
    <x:tableColumn id="11" name="C0_mmol_L"/>
    <x:tableColumn id="12" name="Ceq_or_Ct_mmol_L"/>
    <x:tableColumn id="13" name="C_over_C0"/>
    <x:tableColumn id="14" name="Adsorbent_Dose_g_L"/>
    <x:tableColumn id="15" name="Temperature_C"/>
    <x:tableColumn id="16" name="qe_mmol_g"/>
    <x:tableColumn id="17" name="qe_mg_g"/>
    <x:tableColumn id="18" name="Source_Figure"/>
    <x:tableColumn id="19" name="Source_Page"/>
    <x:tableColumn id="20" name="Marker_Inde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ExtractedTable" displayName="RawExtractedTable" ref="A1:U117" headerRowCount="1" totalsRowCount="0" totalsRowShown="0">
  <x:tableColumns count="21">
    <x:tableColumn id="1" name="Metal"/>
    <x:tableColumn id="2" name="Adsorbent"/>
    <x:tableColumn id="3" name="Functionalization"/>
    <x:tableColumn id="4" name="System"/>
    <x:tableColumn id="5" name="Replicate"/>
    <x:tableColumn id="6" name="Experiment"/>
    <x:tableColumn id="7" name="pH0"/>
    <x:tableColumn id="8" name="Contact_Time_min"/>
    <x:tableColumn id="9" name="C0_mg_L"/>
    <x:tableColumn id="10" name="C0_mmol_L"/>
    <x:tableColumn id="11" name="Ceq_or_Ct_mmol_L"/>
    <x:tableColumn id="12" name="C_over_C0"/>
    <x:tableColumn id="13" name="Adsorbent_Dose_g_L"/>
    <x:tableColumn id="14" name="Temperature_C"/>
    <x:tableColumn id="15" name="qe_mmol_g"/>
    <x:tableColumn id="16" name="qe_mg_g"/>
    <x:tableColumn id="17" name="Source_Figure"/>
    <x:tableColumn id="18" name="Source_Page"/>
    <x:tableColumn id="19" name="Marker_Index"/>
    <x:tableColumn id="20" name="Use_for_Model"/>
    <x:tableColumn id="21" name="Exclusion_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LReadyTable" displayName="MLReadyTable" ref="A4:H116" headerRowCount="1" totalsRowCount="0" totalsRowShown="0">
  <x:tableColumns count="8">
    <x:tableColumn id="1" name="Metal_INPUT"/>
    <x:tableColumn id="2" name="System_INPUT"/>
    <x:tableColumn id="3" name="Experiment_INPUT"/>
    <x:tableColumn id="4" name="Contact_Time_min_INPUT"/>
    <x:tableColumn id="5" name="C0_mg_L_INPUT"/>
    <x:tableColumn id="6" name="Adsorbent_Dose_g_L_INPUT"/>
    <x:tableColumn id="7" name="qe_mg_g_OUTPUT"/>
    <x:tableColumn id="8" name="Row_ID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7c06d60d3a46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5dc381215f42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b727cfada711476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9.200000762939453" hidden="0" customHeight="1">
      <x:c r="A1" s="5" t="str">
        <x:v>ML Dataset – P2-APEI Rare-Earth Adsorption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2" t="str">
        <x:v>Item</x:v>
      </x:c>
      <x:c r="B3" s="12" t="str">
        <x:v>Value</x:v>
      </x:c>
      <x:c r="D3" s="28" t="str">
        <x:v>Important note</x:v>
      </x:c>
      <x:c r="E3" s="28" t="str"/>
      <x:c r="F3" s="28" t="str"/>
      <x:c r="G3" s="28" t="str"/>
      <x:c r="H3" s="28" t="str"/>
    </x:row>
    <x:row r="4" ht="26.399999618530273" hidden="0" customHeight="1">
      <x:c r="A4" t="str">
        <x:v>Model-ready rows</x:v>
      </x:c>
      <x:c r="B4" t="n">
        <x:v>112</x:v>
      </x:c>
      <x:c r="D4" s="29" t="str">
        <x:v>The 112 rows are digitized directly from vector marker coordinates in the uploaded supplementary PDF.</x:v>
      </x:c>
      <x:c r="E4" s="29" t="str"/>
      <x:c r="F4" s="29" t="str"/>
      <x:c r="G4" s="29" t="str"/>
      <x:c r="H4" s="29" t="str"/>
    </x:row>
    <x:row r="5" ht="26.399999618530273" hidden="0" customHeight="1">
      <x:c r="A5" t="str">
        <x:v>Raw extracted graph markers</x:v>
      </x:c>
      <x:c r="B5" t="n">
        <x:v>116</x:v>
      </x:c>
      <x:c r="D5" s="29" t="str">
        <x:v>Only P2-APEI (the phosphorylated/functionalized adsorbent) is included in the model-ready sheet.</x:v>
      </x:c>
      <x:c r="E5" s="29" t="str"/>
      <x:c r="F5" s="29" t="str"/>
      <x:c r="G5" s="29" t="str"/>
      <x:c r="H5" s="29" t="str"/>
    </x:row>
    <x:row r="6" ht="26.399999618530273" hidden="0" customHeight="1">
      <x:c r="A6" t="str">
        <x:v>Functionalized adsorbent</x:v>
      </x:c>
      <x:c r="B6" t="str">
        <x:v>P2-APEI (phosphorylated algal biomass/PEI hydrogel)</x:v>
      </x:c>
      <x:c r="D6" s="29" t="str">
        <x:v>The four (0,0) isotherm plotting anchors were excluded because the paper states C0 = 10–500 mg/L.</x:v>
      </x:c>
      <x:c r="E6" s="29" t="str"/>
      <x:c r="F6" s="29" t="str"/>
      <x:c r="G6" s="29" t="str"/>
      <x:c r="H6" s="29" t="str"/>
    </x:row>
    <x:row r="7" ht="26.399999618530273" hidden="0" customHeight="1">
      <x:c r="A7" t="str">
        <x:v>Rare-earth elements</x:v>
      </x:c>
      <x:c r="B7" t="str">
        <x:v>Pr(III), Tm(III)</x:v>
      </x:c>
      <x:c r="D7" s="29" t="str">
        <x:v>Kinetic qe values were calculated from C(t)/C0 using q = C0(1−C/C0)/SD.</x:v>
      </x:c>
      <x:c r="E7" s="29" t="str"/>
      <x:c r="F7" s="29" t="str"/>
      <x:c r="G7" s="29" t="str"/>
      <x:c r="H7" s="29" t="str"/>
    </x:row>
    <x:row r="8" ht="26.399999618530273" hidden="0" customHeight="1">
      <x:c r="A8" t="str">
        <x:v>Source figures used</x:v>
      </x:c>
      <x:c r="B8" t="str">
        <x:v>S8a, S8b, S9</x:v>
      </x:c>
      <x:c r="D8" s="29" t="str">
        <x:v>Isotherm initial concentration was reconstructed by mass balance: C0 = Ce + qe×SD.</x:v>
      </x:c>
      <x:c r="E8" s="29" t="str"/>
      <x:c r="F8" s="29" t="str"/>
      <x:c r="G8" s="29" t="str"/>
      <x:c r="H8" s="29" t="str"/>
    </x:row>
    <x:row r="9" ht="26.399999618530273" hidden="0" customHeight="1">
      <x:c r="D9" s="29" t="str">
        <x:v>Use qe_mmol_g or qe_mg_g as the regression target; do not use both as separate targets in the same model.</x:v>
      </x:c>
      <x:c r="E9" s="29" t="str"/>
      <x:c r="F9" s="29" t="str"/>
      <x:c r="G9" s="29" t="str"/>
      <x:c r="H9" s="29" t="str"/>
    </x:row>
    <x:row r="10" ht="15" hidden="0" customHeight="1">
      <x:c r="A10" s="17" t="str">
        <x:v>Figure</x:v>
      </x:c>
      <x:c r="B10" s="17" t="str">
        <x:v>Model-ready rows</x:v>
      </x:c>
      <x:c r="D10" s="29" t="str">
        <x:v>Source DOI</x:v>
      </x:c>
      <x:c r="E10" s="29" t="str">
        <x:v>https://doi.org/10.3390/met11020294</x:v>
      </x:c>
      <x:c r="F10" s="29" t="str"/>
      <x:c r="G10" s="29" t="str"/>
      <x:c r="H10" s="29" t="str"/>
    </x:row>
    <x:row r="11" ht="15" hidden="0" customHeight="1">
      <x:c r="A11" t="str">
        <x:v>S8a – single-metal uptake kinetics</x:v>
      </x:c>
      <x:c r="B11" t="n">
        <x:v>48</x:v>
      </x:c>
      <x:c r="D11" s="29" t="str">
        <x:v>Supplementary material</x:v>
      </x:c>
      <x:c r="E11" s="29" t="str">
        <x:v>https://www.mdpi.com/2075-4701/11/2/294/s1</x:v>
      </x:c>
      <x:c r="F11" s="29" t="str"/>
      <x:c r="G11" s="29" t="str"/>
      <x:c r="H11" s="29" t="str"/>
    </x:row>
    <x:row r="12" ht="15" hidden="0" customHeight="1">
      <x:c r="A12" t="str">
        <x:v>S8b – binary-metal uptake kinetics</x:v>
      </x:c>
      <x:c r="B12" t="n">
        <x:v>24</x:v>
      </x:c>
    </x:row>
    <x:row r="13" ht="15" hidden="0" customHeight="1">
      <x:c r="A13" t="str">
        <x:v>S9 – single-metal sorption isotherms</x:v>
      </x:c>
      <x:c r="B13" t="n">
        <x:v>40</x:v>
      </x:c>
    </x:row>
    <x:row r="14" ht="15" hidden="0" customHeight="1">
      <x:c r="A14" s="21" t="str">
        <x:v>Total</x:v>
      </x:c>
      <x:c r="B14" s="21" t="n">
        <x:v>112</x:v>
      </x:c>
    </x:row>
    <x:row r="16">
      <x:c r="A16" s="94" t="str">
        <x:v>AI Model Setup</x:v>
      </x:c>
      <x:c r="B16" s="94" t="str">
        <x:v>Use</x:v>
      </x:c>
    </x:row>
    <x:row r="17">
      <x:c r="A17" s="29" t="str">
        <x:v>INPUT 1</x:v>
      </x:c>
      <x:c r="B17" s="29" t="str">
        <x:v>Metal (Pr / Tm)</x:v>
      </x:c>
    </x:row>
    <x:row r="18">
      <x:c r="A18" s="29" t="str">
        <x:v>INPUT 2</x:v>
      </x:c>
      <x:c r="B18" s="29" t="str">
        <x:v>System (Single / Binary)</x:v>
      </x:c>
    </x:row>
    <x:row r="19">
      <x:c r="A19" s="29" t="str">
        <x:v>INPUT 3</x:v>
      </x:c>
      <x:c r="B19" s="29" t="str">
        <x:v>Experiment type (Kinetics / Isotherm)</x:v>
      </x:c>
    </x:row>
    <x:row r="20">
      <x:c r="A20" s="29" t="str">
        <x:v>INPUT 4</x:v>
      </x:c>
      <x:c r="B20" s="29" t="str">
        <x:v>Contact time (min)</x:v>
      </x:c>
    </x:row>
    <x:row r="21">
      <x:c r="A21" s="29" t="str">
        <x:v>INPUT 5</x:v>
      </x:c>
      <x:c r="B21" s="29" t="str">
        <x:v>Initial concentration C0 (mg/L)</x:v>
      </x:c>
    </x:row>
    <x:row r="22">
      <x:c r="A22" s="29" t="str">
        <x:v>INPUT 6</x:v>
      </x:c>
      <x:c r="B22" s="29" t="str">
        <x:v>Adsorbent dose (g/L)</x:v>
      </x:c>
    </x:row>
    <x:row r="23">
      <x:c r="A23" s="99" t="str">
        <x:v>OUTPUT / TARGET</x:v>
      </x:c>
      <x:c r="B23" s="99" t="str">
        <x:v>qe (mg/g)</x:v>
      </x:c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D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3" hidden="0" customWidth="1"/>
    <x:col min="4" max="4" width="18" hidden="0" customWidth="1"/>
    <x:col min="5" max="5" width="10" hidden="0" customWidth="1"/>
    <x:col min="6" max="6" width="10" hidden="0" customWidth="1"/>
    <x:col min="7" max="7" width="20" hidden="0" customWidth="1"/>
    <x:col min="8" max="8" width="8" hidden="0" customWidth="1"/>
    <x:col min="9" max="9" width="16" hidden="0" customWidth="1"/>
    <x:col min="10" max="10" width="13" hidden="0" customWidth="1"/>
    <x:col min="11" max="11" width="14" hidden="0" customWidth="1"/>
    <x:col min="12" max="12" width="18" hidden="0" customWidth="1"/>
    <x:col min="13" max="13" width="13" hidden="0" customWidth="1"/>
    <x:col min="14" max="14" width="19" hidden="0" customWidth="1"/>
    <x:col min="15" max="15" width="15" hidden="0" customWidth="1"/>
    <x:col min="16" max="16" width="13" hidden="0" customWidth="1"/>
    <x:col min="17" max="17" width="12" hidden="0" customWidth="1"/>
    <x:col min="18" max="18" width="13" hidden="0" customWidth="1"/>
    <x:col min="19" max="19" width="12" hidden="0" customWidth="1"/>
    <x:col min="20" max="20" width="12" hidden="0" customWidth="1"/>
  </x:cols>
  <x:sheetData>
    <x:row r="1">
      <x:c r="A1" s="35" t="str">
        <x:v>Row_ID</x:v>
      </x:c>
      <x:c r="B1" s="35" t="str">
        <x:v>Metal</x:v>
      </x:c>
      <x:c r="C1" s="35" t="str">
        <x:v>Adsorbent</x:v>
      </x:c>
      <x:c r="D1" s="35" t="str">
        <x:v>Functionalization</x:v>
      </x:c>
      <x:c r="E1" s="35" t="str">
        <x:v>System</x:v>
      </x:c>
      <x:c r="F1" s="35" t="str">
        <x:v>Replicate</x:v>
      </x:c>
      <x:c r="G1" s="35" t="str">
        <x:v>Experiment</x:v>
      </x:c>
      <x:c r="H1" s="35" t="str">
        <x:v>pH0</x:v>
      </x:c>
      <x:c r="I1" s="35" t="str">
        <x:v>Contact_Time_min</x:v>
      </x:c>
      <x:c r="J1" s="35" t="str">
        <x:v>C0_mg_L</x:v>
      </x:c>
      <x:c r="K1" s="35" t="str">
        <x:v>C0_mmol_L</x:v>
      </x:c>
      <x:c r="L1" s="35" t="str">
        <x:v>Ceq_or_Ct_mmol_L</x:v>
      </x:c>
      <x:c r="M1" s="35" t="str">
        <x:v>C_over_C0</x:v>
      </x:c>
      <x:c r="N1" s="35" t="str">
        <x:v>Adsorbent_Dose_g_L</x:v>
      </x:c>
      <x:c r="O1" s="35" t="str">
        <x:v>Temperature_C</x:v>
      </x:c>
      <x:c r="P1" s="35" t="str">
        <x:v>qe_mmol_g</x:v>
      </x:c>
      <x:c r="Q1" s="35" t="str">
        <x:v>qe_mg_g</x:v>
      </x:c>
      <x:c r="R1" s="35" t="str">
        <x:v>Source_Figure</x:v>
      </x:c>
      <x:c r="S1" s="35" t="str">
        <x:v>Source_Page</x:v>
      </x:c>
      <x:c r="T1" s="35" t="str">
        <x:v>Marker_Index</x:v>
      </x:c>
    </x:row>
    <x:row r="2">
      <x:c r="A2" s="29" t="n">
        <x:v>1</x:v>
      </x:c>
      <x:c r="B2" s="29" t="str">
        <x:v>Pr</x:v>
      </x:c>
      <x:c r="C2" s="29" t="str">
        <x:v>P2-APEI</x:v>
      </x:c>
      <x:c r="D2" s="29" t="str">
        <x:v>Phosphorylated</x:v>
      </x:c>
      <x:c r="E2" s="29" t="str">
        <x:v>Single</x:v>
      </x:c>
      <x:c r="F2" s="29" t="n">
        <x:v>1</x:v>
      </x:c>
      <x:c r="G2" s="29" t="str">
        <x:v>Uptake kinetics</x:v>
      </x:c>
      <x:c r="H2" s="40" t="n">
        <x:v>5</x:v>
      </x:c>
      <x:c r="I2" s="42" t="n">
        <x:v>0</x:v>
      </x:c>
      <x:c r="J2" s="44" t="n">
        <x:v>50</x:v>
      </x:c>
      <x:c r="K2" s="40" t="n">
        <x:v>0.354842</x:v>
      </x:c>
      <x:c r="L2" s="40" t="n">
        <x:v>0.354842</x:v>
      </x:c>
      <x:c r="M2" s="40" t="n">
        <x:v>1</x:v>
      </x:c>
      <x:c r="N2" s="40" t="n">
        <x:v>0.25</x:v>
      </x:c>
      <x:c r="O2" s="46" t="n">
        <x:v>22</x:v>
      </x:c>
      <x:c r="P2" s="40" t="n">
        <x:v>0</x:v>
      </x:c>
      <x:c r="Q2" s="44" t="n">
        <x:v>0</x:v>
      </x:c>
      <x:c r="R2" s="29" t="str">
        <x:v>S8a</x:v>
      </x:c>
      <x:c r="S2" s="29" t="n">
        <x:v>30</x:v>
      </x:c>
      <x:c r="T2" s="29" t="n">
        <x:v>24</x:v>
      </x:c>
    </x:row>
    <x:row r="3">
      <x:c r="A3" s="29" t="n">
        <x:v>2</x:v>
      </x:c>
      <x:c r="B3" s="29" t="str">
        <x:v>Pr</x:v>
      </x:c>
      <x:c r="C3" s="29" t="str">
        <x:v>P2-APEI</x:v>
      </x:c>
      <x:c r="D3" s="29" t="str">
        <x:v>Phosphorylated</x:v>
      </x:c>
      <x:c r="E3" s="29" t="str">
        <x:v>Single</x:v>
      </x:c>
      <x:c r="F3" s="29" t="n">
        <x:v>1</x:v>
      </x:c>
      <x:c r="G3" s="29" t="str">
        <x:v>Uptake kinetics</x:v>
      </x:c>
      <x:c r="H3" s="40" t="n">
        <x:v>5</x:v>
      </x:c>
      <x:c r="I3" s="42" t="n">
        <x:v>2</x:v>
      </x:c>
      <x:c r="J3" s="44" t="n">
        <x:v>50</x:v>
      </x:c>
      <x:c r="K3" s="40" t="n">
        <x:v>0.354842</x:v>
      </x:c>
      <x:c r="L3" s="40" t="n">
        <x:v>0.342928</x:v>
      </x:c>
      <x:c r="M3" s="40" t="n">
        <x:v>0.966425</x:v>
      </x:c>
      <x:c r="N3" s="40" t="n">
        <x:v>0.25</x:v>
      </x:c>
      <x:c r="O3" s="46" t="n">
        <x:v>22</x:v>
      </x:c>
      <x:c r="P3" s="40" t="n">
        <x:v>0.047656</x:v>
      </x:c>
      <x:c r="Q3" s="44" t="n">
        <x:v>6.715089</x:v>
      </x:c>
      <x:c r="R3" s="29" t="str">
        <x:v>S8a</x:v>
      </x:c>
      <x:c r="S3" s="29" t="n">
        <x:v>30</x:v>
      </x:c>
      <x:c r="T3" s="29" t="n">
        <x:v>25</x:v>
      </x:c>
    </x:row>
    <x:row r="4">
      <x:c r="A4" s="29" t="n">
        <x:v>3</x:v>
      </x:c>
      <x:c r="B4" s="29" t="str">
        <x:v>Pr</x:v>
      </x:c>
      <x:c r="C4" s="29" t="str">
        <x:v>P2-APEI</x:v>
      </x:c>
      <x:c r="D4" s="29" t="str">
        <x:v>Phosphorylated</x:v>
      </x:c>
      <x:c r="E4" s="29" t="str">
        <x:v>Single</x:v>
      </x:c>
      <x:c r="F4" s="29" t="n">
        <x:v>1</x:v>
      </x:c>
      <x:c r="G4" s="29" t="str">
        <x:v>Uptake kinetics</x:v>
      </x:c>
      <x:c r="H4" s="40" t="n">
        <x:v>5</x:v>
      </x:c>
      <x:c r="I4" s="42" t="n">
        <x:v>5</x:v>
      </x:c>
      <x:c r="J4" s="44" t="n">
        <x:v>50</x:v>
      </x:c>
      <x:c r="K4" s="40" t="n">
        <x:v>0.354842</x:v>
      </x:c>
      <x:c r="L4" s="40" t="n">
        <x:v>0.322176</x:v>
      </x:c>
      <x:c r="M4" s="40" t="n">
        <x:v>0.907941</x:v>
      </x:c>
      <x:c r="N4" s="40" t="n">
        <x:v>0.25</x:v>
      </x:c>
      <x:c r="O4" s="46" t="n">
        <x:v>22</x:v>
      </x:c>
      <x:c r="P4" s="40" t="n">
        <x:v>0.130666</x:v>
      </x:c>
      <x:c r="Q4" s="44" t="n">
        <x:v>18.411841</x:v>
      </x:c>
      <x:c r="R4" s="29" t="str">
        <x:v>S8a</x:v>
      </x:c>
      <x:c r="S4" s="29" t="n">
        <x:v>30</x:v>
      </x:c>
      <x:c r="T4" s="29" t="n">
        <x:v>26</x:v>
      </x:c>
    </x:row>
    <x:row r="5">
      <x:c r="A5" s="29" t="n">
        <x:v>4</x:v>
      </x:c>
      <x:c r="B5" s="29" t="str">
        <x:v>Pr</x:v>
      </x:c>
      <x:c r="C5" s="29" t="str">
        <x:v>P2-APEI</x:v>
      </x:c>
      <x:c r="D5" s="29" t="str">
        <x:v>Phosphorylated</x:v>
      </x:c>
      <x:c r="E5" s="29" t="str">
        <x:v>Single</x:v>
      </x:c>
      <x:c r="F5" s="29" t="n">
        <x:v>1</x:v>
      </x:c>
      <x:c r="G5" s="29" t="str">
        <x:v>Uptake kinetics</x:v>
      </x:c>
      <x:c r="H5" s="40" t="n">
        <x:v>5</x:v>
      </x:c>
      <x:c r="I5" s="42" t="n">
        <x:v>10</x:v>
      </x:c>
      <x:c r="J5" s="44" t="n">
        <x:v>50</x:v>
      </x:c>
      <x:c r="K5" s="40" t="n">
        <x:v>0.354842</x:v>
      </x:c>
      <x:c r="L5" s="40" t="n">
        <x:v>0.289894</x:v>
      </x:c>
      <x:c r="M5" s="40" t="n">
        <x:v>0.816966</x:v>
      </x:c>
      <x:c r="N5" s="40" t="n">
        <x:v>0.25</x:v>
      </x:c>
      <x:c r="O5" s="46" t="n">
        <x:v>22</x:v>
      </x:c>
      <x:c r="P5" s="40" t="n">
        <x:v>0.259793</x:v>
      </x:c>
      <x:c r="Q5" s="44" t="n">
        <x:v>36.606786</x:v>
      </x:c>
      <x:c r="R5" s="29" t="str">
        <x:v>S8a</x:v>
      </x:c>
      <x:c r="S5" s="29" t="n">
        <x:v>30</x:v>
      </x:c>
      <x:c r="T5" s="29" t="n">
        <x:v>27</x:v>
      </x:c>
    </x:row>
    <x:row r="6">
      <x:c r="A6" s="29" t="n">
        <x:v>5</x:v>
      </x:c>
      <x:c r="B6" s="29" t="str">
        <x:v>Pr</x:v>
      </x:c>
      <x:c r="C6" s="29" t="str">
        <x:v>P2-APEI</x:v>
      </x:c>
      <x:c r="D6" s="29" t="str">
        <x:v>Phosphorylated</x:v>
      </x:c>
      <x:c r="E6" s="29" t="str">
        <x:v>Single</x:v>
      </x:c>
      <x:c r="F6" s="29" t="n">
        <x:v>1</x:v>
      </x:c>
      <x:c r="G6" s="29" t="str">
        <x:v>Uptake kinetics</x:v>
      </x:c>
      <x:c r="H6" s="40" t="n">
        <x:v>5</x:v>
      </x:c>
      <x:c r="I6" s="42" t="n">
        <x:v>15</x:v>
      </x:c>
      <x:c r="J6" s="44" t="n">
        <x:v>50</x:v>
      </x:c>
      <x:c r="K6" s="40" t="n">
        <x:v>0.354842</x:v>
      </x:c>
      <x:c r="L6" s="40" t="n">
        <x:v>0.276444</x:v>
      </x:c>
      <x:c r="M6" s="40" t="n">
        <x:v>0.779061</x:v>
      </x:c>
      <x:c r="N6" s="40" t="n">
        <x:v>0.25</x:v>
      </x:c>
      <x:c r="O6" s="46" t="n">
        <x:v>22</x:v>
      </x:c>
      <x:c r="P6" s="40" t="n">
        <x:v>0.313593</x:v>
      </x:c>
      <x:c r="Q6" s="44" t="n">
        <x:v>44.187723</x:v>
      </x:c>
      <x:c r="R6" s="29" t="str">
        <x:v>S8a</x:v>
      </x:c>
      <x:c r="S6" s="29" t="n">
        <x:v>30</x:v>
      </x:c>
      <x:c r="T6" s="29" t="n">
        <x:v>28</x:v>
      </x:c>
    </x:row>
    <x:row r="7">
      <x:c r="A7" s="29" t="n">
        <x:v>6</x:v>
      </x:c>
      <x:c r="B7" s="29" t="str">
        <x:v>Pr</x:v>
      </x:c>
      <x:c r="C7" s="29" t="str">
        <x:v>P2-APEI</x:v>
      </x:c>
      <x:c r="D7" s="29" t="str">
        <x:v>Phosphorylated</x:v>
      </x:c>
      <x:c r="E7" s="29" t="str">
        <x:v>Single</x:v>
      </x:c>
      <x:c r="F7" s="29" t="n">
        <x:v>1</x:v>
      </x:c>
      <x:c r="G7" s="29" t="str">
        <x:v>Uptake kinetics</x:v>
      </x:c>
      <x:c r="H7" s="40" t="n">
        <x:v>5</x:v>
      </x:c>
      <x:c r="I7" s="42" t="n">
        <x:v>20</x:v>
      </x:c>
      <x:c r="J7" s="44" t="n">
        <x:v>50</x:v>
      </x:c>
      <x:c r="K7" s="40" t="n">
        <x:v>0.354842</x:v>
      </x:c>
      <x:c r="L7" s="40" t="n">
        <x:v>0.271832</x:v>
      </x:c>
      <x:c r="M7" s="40" t="n">
        <x:v>0.766065</x:v>
      </x:c>
      <x:c r="N7" s="40" t="n">
        <x:v>0.25</x:v>
      </x:c>
      <x:c r="O7" s="46" t="n">
        <x:v>22</x:v>
      </x:c>
      <x:c r="P7" s="40" t="n">
        <x:v>0.33204</x:v>
      </x:c>
      <x:c r="Q7" s="44" t="n">
        <x:v>46.787002</x:v>
      </x:c>
      <x:c r="R7" s="29" t="str">
        <x:v>S8a</x:v>
      </x:c>
      <x:c r="S7" s="29" t="n">
        <x:v>30</x:v>
      </x:c>
      <x:c r="T7" s="29" t="n">
        <x:v>29</x:v>
      </x:c>
    </x:row>
    <x:row r="8">
      <x:c r="A8" s="29" t="n">
        <x:v>7</x:v>
      </x:c>
      <x:c r="B8" s="29" t="str">
        <x:v>Pr</x:v>
      </x:c>
      <x:c r="C8" s="29" t="str">
        <x:v>P2-APEI</x:v>
      </x:c>
      <x:c r="D8" s="29" t="str">
        <x:v>Phosphorylated</x:v>
      </x:c>
      <x:c r="E8" s="29" t="str">
        <x:v>Single</x:v>
      </x:c>
      <x:c r="F8" s="29" t="n">
        <x:v>1</x:v>
      </x:c>
      <x:c r="G8" s="29" t="str">
        <x:v>Uptake kinetics</x:v>
      </x:c>
      <x:c r="H8" s="40" t="n">
        <x:v>5</x:v>
      </x:c>
      <x:c r="I8" s="42" t="n">
        <x:v>25</x:v>
      </x:c>
      <x:c r="J8" s="44" t="n">
        <x:v>50</x:v>
      </x:c>
      <x:c r="K8" s="40" t="n">
        <x:v>0.354842</x:v>
      </x:c>
      <x:c r="L8" s="40" t="n">
        <x:v>0.271832</x:v>
      </x:c>
      <x:c r="M8" s="40" t="n">
        <x:v>0.766065</x:v>
      </x:c>
      <x:c r="N8" s="40" t="n">
        <x:v>0.25</x:v>
      </x:c>
      <x:c r="O8" s="46" t="n">
        <x:v>22</x:v>
      </x:c>
      <x:c r="P8" s="40" t="n">
        <x:v>0.33204</x:v>
      </x:c>
      <x:c r="Q8" s="44" t="n">
        <x:v>46.787002</x:v>
      </x:c>
      <x:c r="R8" s="29" t="str">
        <x:v>S8a</x:v>
      </x:c>
      <x:c r="S8" s="29" t="n">
        <x:v>30</x:v>
      </x:c>
      <x:c r="T8" s="29" t="n">
        <x:v>30</x:v>
      </x:c>
    </x:row>
    <x:row r="9">
      <x:c r="A9" s="29" t="n">
        <x:v>8</x:v>
      </x:c>
      <x:c r="B9" s="29" t="str">
        <x:v>Pr</x:v>
      </x:c>
      <x:c r="C9" s="29" t="str">
        <x:v>P2-APEI</x:v>
      </x:c>
      <x:c r="D9" s="29" t="str">
        <x:v>Phosphorylated</x:v>
      </x:c>
      <x:c r="E9" s="29" t="str">
        <x:v>Single</x:v>
      </x:c>
      <x:c r="F9" s="29" t="n">
        <x:v>1</x:v>
      </x:c>
      <x:c r="G9" s="29" t="str">
        <x:v>Uptake kinetics</x:v>
      </x:c>
      <x:c r="H9" s="40" t="n">
        <x:v>5</x:v>
      </x:c>
      <x:c r="I9" s="42" t="n">
        <x:v>30</x:v>
      </x:c>
      <x:c r="J9" s="44" t="n">
        <x:v>50</x:v>
      </x:c>
      <x:c r="K9" s="40" t="n">
        <x:v>0.354842</x:v>
      </x:c>
      <x:c r="L9" s="40" t="n">
        <x:v>0.271832</x:v>
      </x:c>
      <x:c r="M9" s="40" t="n">
        <x:v>0.766065</x:v>
      </x:c>
      <x:c r="N9" s="40" t="n">
        <x:v>0.25</x:v>
      </x:c>
      <x:c r="O9" s="46" t="n">
        <x:v>22</x:v>
      </x:c>
      <x:c r="P9" s="40" t="n">
        <x:v>0.33204</x:v>
      </x:c>
      <x:c r="Q9" s="44" t="n">
        <x:v>46.787004</x:v>
      </x:c>
      <x:c r="R9" s="29" t="str">
        <x:v>S8a</x:v>
      </x:c>
      <x:c r="S9" s="29" t="n">
        <x:v>30</x:v>
      </x:c>
      <x:c r="T9" s="29" t="n">
        <x:v>31</x:v>
      </x:c>
    </x:row>
    <x:row r="10">
      <x:c r="A10" s="29" t="n">
        <x:v>9</x:v>
      </x:c>
      <x:c r="B10" s="29" t="str">
        <x:v>Pr</x:v>
      </x:c>
      <x:c r="C10" s="29" t="str">
        <x:v>P2-APEI</x:v>
      </x:c>
      <x:c r="D10" s="29" t="str">
        <x:v>Phosphorylated</x:v>
      </x:c>
      <x:c r="E10" s="29" t="str">
        <x:v>Single</x:v>
      </x:c>
      <x:c r="F10" s="29" t="n">
        <x:v>1</x:v>
      </x:c>
      <x:c r="G10" s="29" t="str">
        <x:v>Uptake kinetics</x:v>
      </x:c>
      <x:c r="H10" s="40" t="n">
        <x:v>5</x:v>
      </x:c>
      <x:c r="I10" s="42" t="n">
        <x:v>35</x:v>
      </x:c>
      <x:c r="J10" s="44" t="n">
        <x:v>50</x:v>
      </x:c>
      <x:c r="K10" s="40" t="n">
        <x:v>0.354842</x:v>
      </x:c>
      <x:c r="L10" s="40" t="n">
        <x:v>0.271832</x:v>
      </x:c>
      <x:c r="M10" s="40" t="n">
        <x:v>0.766065</x:v>
      </x:c>
      <x:c r="N10" s="40" t="n">
        <x:v>0.25</x:v>
      </x:c>
      <x:c r="O10" s="46" t="n">
        <x:v>22</x:v>
      </x:c>
      <x:c r="P10" s="40" t="n">
        <x:v>0.33204</x:v>
      </x:c>
      <x:c r="Q10" s="44" t="n">
        <x:v>46.787004</x:v>
      </x:c>
      <x:c r="R10" s="29" t="str">
        <x:v>S8a</x:v>
      </x:c>
      <x:c r="S10" s="29" t="n">
        <x:v>30</x:v>
      </x:c>
      <x:c r="T10" s="29" t="n">
        <x:v>32</x:v>
      </x:c>
    </x:row>
    <x:row r="11">
      <x:c r="A11" s="29" t="n">
        <x:v>10</x:v>
      </x:c>
      <x:c r="B11" s="29" t="str">
        <x:v>Pr</x:v>
      </x:c>
      <x:c r="C11" s="29" t="str">
        <x:v>P2-APEI</x:v>
      </x:c>
      <x:c r="D11" s="29" t="str">
        <x:v>Phosphorylated</x:v>
      </x:c>
      <x:c r="E11" s="29" t="str">
        <x:v>Single</x:v>
      </x:c>
      <x:c r="F11" s="29" t="n">
        <x:v>1</x:v>
      </x:c>
      <x:c r="G11" s="29" t="str">
        <x:v>Uptake kinetics</x:v>
      </x:c>
      <x:c r="H11" s="40" t="n">
        <x:v>5</x:v>
      </x:c>
      <x:c r="I11" s="42" t="n">
        <x:v>40</x:v>
      </x:c>
      <x:c r="J11" s="44" t="n">
        <x:v>50</x:v>
      </x:c>
      <x:c r="K11" s="40" t="n">
        <x:v>0.354842</x:v>
      </x:c>
      <x:c r="L11" s="40" t="n">
        <x:v>0.271832</x:v>
      </x:c>
      <x:c r="M11" s="40" t="n">
        <x:v>0.766065</x:v>
      </x:c>
      <x:c r="N11" s="40" t="n">
        <x:v>0.25</x:v>
      </x:c>
      <x:c r="O11" s="46" t="n">
        <x:v>22</x:v>
      </x:c>
      <x:c r="P11" s="40" t="n">
        <x:v>0.33204</x:v>
      </x:c>
      <x:c r="Q11" s="44" t="n">
        <x:v>46.787009</x:v>
      </x:c>
      <x:c r="R11" s="29" t="str">
        <x:v>S8a</x:v>
      </x:c>
      <x:c r="S11" s="29" t="n">
        <x:v>30</x:v>
      </x:c>
      <x:c r="T11" s="29" t="n">
        <x:v>33</x:v>
      </x:c>
    </x:row>
    <x:row r="12">
      <x:c r="A12" s="29" t="n">
        <x:v>11</x:v>
      </x:c>
      <x:c r="B12" s="29" t="str">
        <x:v>Pr</x:v>
      </x:c>
      <x:c r="C12" s="29" t="str">
        <x:v>P2-APEI</x:v>
      </x:c>
      <x:c r="D12" s="29" t="str">
        <x:v>Phosphorylated</x:v>
      </x:c>
      <x:c r="E12" s="29" t="str">
        <x:v>Single</x:v>
      </x:c>
      <x:c r="F12" s="29" t="n">
        <x:v>1</x:v>
      </x:c>
      <x:c r="G12" s="29" t="str">
        <x:v>Uptake kinetics</x:v>
      </x:c>
      <x:c r="H12" s="40" t="n">
        <x:v>5</x:v>
      </x:c>
      <x:c r="I12" s="42" t="n">
        <x:v>50</x:v>
      </x:c>
      <x:c r="J12" s="44" t="n">
        <x:v>50</x:v>
      </x:c>
      <x:c r="K12" s="40" t="n">
        <x:v>0.354842</x:v>
      </x:c>
      <x:c r="L12" s="40" t="n">
        <x:v>0.271832</x:v>
      </x:c>
      <x:c r="M12" s="40" t="n">
        <x:v>0.766065</x:v>
      </x:c>
      <x:c r="N12" s="40" t="n">
        <x:v>0.25</x:v>
      </x:c>
      <x:c r="O12" s="46" t="n">
        <x:v>22</x:v>
      </x:c>
      <x:c r="P12" s="40" t="n">
        <x:v>0.33204</x:v>
      </x:c>
      <x:c r="Q12" s="44" t="n">
        <x:v>46.787011</x:v>
      </x:c>
      <x:c r="R12" s="29" t="str">
        <x:v>S8a</x:v>
      </x:c>
      <x:c r="S12" s="29" t="n">
        <x:v>30</x:v>
      </x:c>
      <x:c r="T12" s="29" t="n">
        <x:v>34</x:v>
      </x:c>
    </x:row>
    <x:row r="13">
      <x:c r="A13" s="29" t="n">
        <x:v>12</x:v>
      </x:c>
      <x:c r="B13" s="29" t="str">
        <x:v>Pr</x:v>
      </x:c>
      <x:c r="C13" s="29" t="str">
        <x:v>P2-APEI</x:v>
      </x:c>
      <x:c r="D13" s="29" t="str">
        <x:v>Phosphorylated</x:v>
      </x:c>
      <x:c r="E13" s="29" t="str">
        <x:v>Single</x:v>
      </x:c>
      <x:c r="F13" s="29" t="n">
        <x:v>1</x:v>
      </x:c>
      <x:c r="G13" s="29" t="str">
        <x:v>Uptake kinetics</x:v>
      </x:c>
      <x:c r="H13" s="40" t="n">
        <x:v>5</x:v>
      </x:c>
      <x:c r="I13" s="42" t="n">
        <x:v>60</x:v>
      </x:c>
      <x:c r="J13" s="44" t="n">
        <x:v>50</x:v>
      </x:c>
      <x:c r="K13" s="40" t="n">
        <x:v>0.354842</x:v>
      </x:c>
      <x:c r="L13" s="40" t="n">
        <x:v>0.271832</x:v>
      </x:c>
      <x:c r="M13" s="40" t="n">
        <x:v>0.766065</x:v>
      </x:c>
      <x:c r="N13" s="40" t="n">
        <x:v>0.25</x:v>
      </x:c>
      <x:c r="O13" s="46" t="n">
        <x:v>22</x:v>
      </x:c>
      <x:c r="P13" s="40" t="n">
        <x:v>0.33204</x:v>
      </x:c>
      <x:c r="Q13" s="44" t="n">
        <x:v>46.787011</x:v>
      </x:c>
      <x:c r="R13" s="29" t="str">
        <x:v>S8a</x:v>
      </x:c>
      <x:c r="S13" s="29" t="n">
        <x:v>30</x:v>
      </x:c>
      <x:c r="T13" s="29" t="n">
        <x:v>35</x:v>
      </x:c>
    </x:row>
    <x:row r="14">
      <x:c r="A14" s="29" t="n">
        <x:v>13</x:v>
      </x:c>
      <x:c r="B14" s="29" t="str">
        <x:v>Pr</x:v>
      </x:c>
      <x:c r="C14" s="29" t="str">
        <x:v>P2-APEI</x:v>
      </x:c>
      <x:c r="D14" s="29" t="str">
        <x:v>Phosphorylated</x:v>
      </x:c>
      <x:c r="E14" s="29" t="str">
        <x:v>Single</x:v>
      </x:c>
      <x:c r="F14" s="29" t="n">
        <x:v>2</x:v>
      </x:c>
      <x:c r="G14" s="29" t="str">
        <x:v>Uptake kinetics</x:v>
      </x:c>
      <x:c r="H14" s="40" t="n">
        <x:v>5</x:v>
      </x:c>
      <x:c r="I14" s="42" t="n">
        <x:v>0</x:v>
      </x:c>
      <x:c r="J14" s="44" t="n">
        <x:v>50</x:v>
      </x:c>
      <x:c r="K14" s="40" t="n">
        <x:v>0.354842</x:v>
      </x:c>
      <x:c r="L14" s="40" t="n">
        <x:v>0.354842</x:v>
      </x:c>
      <x:c r="M14" s="40" t="n">
        <x:v>1</x:v>
      </x:c>
      <x:c r="N14" s="40" t="n">
        <x:v>0.25</x:v>
      </x:c>
      <x:c r="O14" s="46" t="n">
        <x:v>22</x:v>
      </x:c>
      <x:c r="P14" s="40" t="n">
        <x:v>0</x:v>
      </x:c>
      <x:c r="Q14" s="44" t="n">
        <x:v>0</x:v>
      </x:c>
      <x:c r="R14" s="29" t="str">
        <x:v>S8a</x:v>
      </x:c>
      <x:c r="S14" s="29" t="n">
        <x:v>30</x:v>
      </x:c>
      <x:c r="T14" s="29" t="n">
        <x:v>36</x:v>
      </x:c>
    </x:row>
    <x:row r="15">
      <x:c r="A15" s="29" t="n">
        <x:v>14</x:v>
      </x:c>
      <x:c r="B15" s="29" t="str">
        <x:v>Pr</x:v>
      </x:c>
      <x:c r="C15" s="29" t="str">
        <x:v>P2-APEI</x:v>
      </x:c>
      <x:c r="D15" s="29" t="str">
        <x:v>Phosphorylated</x:v>
      </x:c>
      <x:c r="E15" s="29" t="str">
        <x:v>Single</x:v>
      </x:c>
      <x:c r="F15" s="29" t="n">
        <x:v>2</x:v>
      </x:c>
      <x:c r="G15" s="29" t="str">
        <x:v>Uptake kinetics</x:v>
      </x:c>
      <x:c r="H15" s="40" t="n">
        <x:v>5</x:v>
      </x:c>
      <x:c r="I15" s="42" t="n">
        <x:v>2</x:v>
      </x:c>
      <x:c r="J15" s="44" t="n">
        <x:v>50</x:v>
      </x:c>
      <x:c r="K15" s="40" t="n">
        <x:v>0.354842</x:v>
      </x:c>
      <x:c r="L15" s="40" t="n">
        <x:v>0.343697</x:v>
      </x:c>
      <x:c r="M15" s="40" t="n">
        <x:v>0.968591</x:v>
      </x:c>
      <x:c r="N15" s="40" t="n">
        <x:v>0.25</x:v>
      </x:c>
      <x:c r="O15" s="46" t="n">
        <x:v>22</x:v>
      </x:c>
      <x:c r="P15" s="40" t="n">
        <x:v>0.044582</x:v>
      </x:c>
      <x:c r="Q15" s="44" t="n">
        <x:v>6.281875</x:v>
      </x:c>
      <x:c r="R15" s="29" t="str">
        <x:v>S8a</x:v>
      </x:c>
      <x:c r="S15" s="29" t="n">
        <x:v>30</x:v>
      </x:c>
      <x:c r="T15" s="29" t="n">
        <x:v>37</x:v>
      </x:c>
    </x:row>
    <x:row r="16">
      <x:c r="A16" s="29" t="n">
        <x:v>15</x:v>
      </x:c>
      <x:c r="B16" s="29" t="str">
        <x:v>Pr</x:v>
      </x:c>
      <x:c r="C16" s="29" t="str">
        <x:v>P2-APEI</x:v>
      </x:c>
      <x:c r="D16" s="29" t="str">
        <x:v>Phosphorylated</x:v>
      </x:c>
      <x:c r="E16" s="29" t="str">
        <x:v>Single</x:v>
      </x:c>
      <x:c r="F16" s="29" t="n">
        <x:v>2</x:v>
      </x:c>
      <x:c r="G16" s="29" t="str">
        <x:v>Uptake kinetics</x:v>
      </x:c>
      <x:c r="H16" s="40" t="n">
        <x:v>5</x:v>
      </x:c>
      <x:c r="I16" s="42" t="n">
        <x:v>5</x:v>
      </x:c>
      <x:c r="J16" s="44" t="n">
        <x:v>50</x:v>
      </x:c>
      <x:c r="K16" s="40" t="n">
        <x:v>0.354842</x:v>
      </x:c>
      <x:c r="L16" s="40" t="n">
        <x:v>0.318717</x:v>
      </x:c>
      <x:c r="M16" s="40" t="n">
        <x:v>0.898194</x:v>
      </x:c>
      <x:c r="N16" s="40" t="n">
        <x:v>0.25</x:v>
      </x:c>
      <x:c r="O16" s="46" t="n">
        <x:v>22</x:v>
      </x:c>
      <x:c r="P16" s="40" t="n">
        <x:v>0.144501</x:v>
      </x:c>
      <x:c r="Q16" s="44" t="n">
        <x:v>20.3613</x:v>
      </x:c>
      <x:c r="R16" s="29" t="str">
        <x:v>S8a</x:v>
      </x:c>
      <x:c r="S16" s="29" t="n">
        <x:v>30</x:v>
      </x:c>
      <x:c r="T16" s="29" t="n">
        <x:v>38</x:v>
      </x:c>
    </x:row>
    <x:row r="17">
      <x:c r="A17" s="29" t="n">
        <x:v>16</x:v>
      </x:c>
      <x:c r="B17" s="29" t="str">
        <x:v>Pr</x:v>
      </x:c>
      <x:c r="C17" s="29" t="str">
        <x:v>P2-APEI</x:v>
      </x:c>
      <x:c r="D17" s="29" t="str">
        <x:v>Phosphorylated</x:v>
      </x:c>
      <x:c r="E17" s="29" t="str">
        <x:v>Single</x:v>
      </x:c>
      <x:c r="F17" s="29" t="n">
        <x:v>2</x:v>
      </x:c>
      <x:c r="G17" s="29" t="str">
        <x:v>Uptake kinetics</x:v>
      </x:c>
      <x:c r="H17" s="40" t="n">
        <x:v>5</x:v>
      </x:c>
      <x:c r="I17" s="42" t="n">
        <x:v>10</x:v>
      </x:c>
      <x:c r="J17" s="44" t="n">
        <x:v>50</x:v>
      </x:c>
      <x:c r="K17" s="40" t="n">
        <x:v>0.354842</x:v>
      </x:c>
      <x:c r="L17" s="40" t="n">
        <x:v>0.278365</x:v>
      </x:c>
      <x:c r="M17" s="40" t="n">
        <x:v>0.784476</x:v>
      </x:c>
      <x:c r="N17" s="40" t="n">
        <x:v>0.25</x:v>
      </x:c>
      <x:c r="O17" s="46" t="n">
        <x:v>22</x:v>
      </x:c>
      <x:c r="P17" s="40" t="n">
        <x:v>0.305908</x:v>
      </x:c>
      <x:c r="Q17" s="44" t="n">
        <x:v>43.104837</x:v>
      </x:c>
      <x:c r="R17" s="29" t="str">
        <x:v>S8a</x:v>
      </x:c>
      <x:c r="S17" s="29" t="n">
        <x:v>30</x:v>
      </x:c>
      <x:c r="T17" s="29" t="n">
        <x:v>39</x:v>
      </x:c>
    </x:row>
    <x:row r="18">
      <x:c r="A18" s="29" t="n">
        <x:v>17</x:v>
      </x:c>
      <x:c r="B18" s="29" t="str">
        <x:v>Pr</x:v>
      </x:c>
      <x:c r="C18" s="29" t="str">
        <x:v>P2-APEI</x:v>
      </x:c>
      <x:c r="D18" s="29" t="str">
        <x:v>Phosphorylated</x:v>
      </x:c>
      <x:c r="E18" s="29" t="str">
        <x:v>Single</x:v>
      </x:c>
      <x:c r="F18" s="29" t="n">
        <x:v>2</x:v>
      </x:c>
      <x:c r="G18" s="29" t="str">
        <x:v>Uptake kinetics</x:v>
      </x:c>
      <x:c r="H18" s="40" t="n">
        <x:v>5</x:v>
      </x:c>
      <x:c r="I18" s="42" t="n">
        <x:v>15</x:v>
      </x:c>
      <x:c r="J18" s="44" t="n">
        <x:v>50</x:v>
      </x:c>
      <x:c r="K18" s="40" t="n">
        <x:v>0.354842</x:v>
      </x:c>
      <x:c r="L18" s="40" t="n">
        <x:v>0.267989</x:v>
      </x:c>
      <x:c r="M18" s="40" t="n">
        <x:v>0.755235</x:v>
      </x:c>
      <x:c r="N18" s="40" t="n">
        <x:v>0.25</x:v>
      </x:c>
      <x:c r="O18" s="46" t="n">
        <x:v>22</x:v>
      </x:c>
      <x:c r="P18" s="40" t="n">
        <x:v>0.347412</x:v>
      </x:c>
      <x:c r="Q18" s="44" t="n">
        <x:v>48.953064</x:v>
      </x:c>
      <x:c r="R18" s="29" t="str">
        <x:v>S8a</x:v>
      </x:c>
      <x:c r="S18" s="29" t="n">
        <x:v>30</x:v>
      </x:c>
      <x:c r="T18" s="29" t="n">
        <x:v>40</x:v>
      </x:c>
    </x:row>
    <x:row r="19">
      <x:c r="A19" s="29" t="n">
        <x:v>18</x:v>
      </x:c>
      <x:c r="B19" s="29" t="str">
        <x:v>Pr</x:v>
      </x:c>
      <x:c r="C19" s="29" t="str">
        <x:v>P2-APEI</x:v>
      </x:c>
      <x:c r="D19" s="29" t="str">
        <x:v>Phosphorylated</x:v>
      </x:c>
      <x:c r="E19" s="29" t="str">
        <x:v>Single</x:v>
      </x:c>
      <x:c r="F19" s="29" t="n">
        <x:v>2</x:v>
      </x:c>
      <x:c r="G19" s="29" t="str">
        <x:v>Uptake kinetics</x:v>
      </x:c>
      <x:c r="H19" s="40" t="n">
        <x:v>5</x:v>
      </x:c>
      <x:c r="I19" s="42" t="n">
        <x:v>20</x:v>
      </x:c>
      <x:c r="J19" s="44" t="n">
        <x:v>50</x:v>
      </x:c>
      <x:c r="K19" s="40" t="n">
        <x:v>0.354842</x:v>
      </x:c>
      <x:c r="L19" s="40" t="n">
        <x:v>0.267605</x:v>
      </x:c>
      <x:c r="M19" s="40" t="n">
        <x:v>0.754152</x:v>
      </x:c>
      <x:c r="N19" s="40" t="n">
        <x:v>0.25</x:v>
      </x:c>
      <x:c r="O19" s="46" t="n">
        <x:v>22</x:v>
      </x:c>
      <x:c r="P19" s="40" t="n">
        <x:v>0.34895</x:v>
      </x:c>
      <x:c r="Q19" s="44" t="n">
        <x:v>49.169672</x:v>
      </x:c>
      <x:c r="R19" s="29" t="str">
        <x:v>S8a</x:v>
      </x:c>
      <x:c r="S19" s="29" t="n">
        <x:v>30</x:v>
      </x:c>
      <x:c r="T19" s="29" t="n">
        <x:v>41</x:v>
      </x:c>
    </x:row>
    <x:row r="20">
      <x:c r="A20" s="29" t="n">
        <x:v>19</x:v>
      </x:c>
      <x:c r="B20" s="29" t="str">
        <x:v>Pr</x:v>
      </x:c>
      <x:c r="C20" s="29" t="str">
        <x:v>P2-APEI</x:v>
      </x:c>
      <x:c r="D20" s="29" t="str">
        <x:v>Phosphorylated</x:v>
      </x:c>
      <x:c r="E20" s="29" t="str">
        <x:v>Single</x:v>
      </x:c>
      <x:c r="F20" s="29" t="n">
        <x:v>2</x:v>
      </x:c>
      <x:c r="G20" s="29" t="str">
        <x:v>Uptake kinetics</x:v>
      </x:c>
      <x:c r="H20" s="40" t="n">
        <x:v>5</x:v>
      </x:c>
      <x:c r="I20" s="42" t="n">
        <x:v>25</x:v>
      </x:c>
      <x:c r="J20" s="44" t="n">
        <x:v>50</x:v>
      </x:c>
      <x:c r="K20" s="40" t="n">
        <x:v>0.354842</x:v>
      </x:c>
      <x:c r="L20" s="40" t="n">
        <x:v>0.267605</x:v>
      </x:c>
      <x:c r="M20" s="40" t="n">
        <x:v>0.754152</x:v>
      </x:c>
      <x:c r="N20" s="40" t="n">
        <x:v>0.25</x:v>
      </x:c>
      <x:c r="O20" s="46" t="n">
        <x:v>22</x:v>
      </x:c>
      <x:c r="P20" s="40" t="n">
        <x:v>0.34895</x:v>
      </x:c>
      <x:c r="Q20" s="44" t="n">
        <x:v>49.169672</x:v>
      </x:c>
      <x:c r="R20" s="29" t="str">
        <x:v>S8a</x:v>
      </x:c>
      <x:c r="S20" s="29" t="n">
        <x:v>30</x:v>
      </x:c>
      <x:c r="T20" s="29" t="n">
        <x:v>42</x:v>
      </x:c>
    </x:row>
    <x:row r="21">
      <x:c r="A21" s="29" t="n">
        <x:v>20</x:v>
      </x:c>
      <x:c r="B21" s="29" t="str">
        <x:v>Pr</x:v>
      </x:c>
      <x:c r="C21" s="29" t="str">
        <x:v>P2-APEI</x:v>
      </x:c>
      <x:c r="D21" s="29" t="str">
        <x:v>Phosphorylated</x:v>
      </x:c>
      <x:c r="E21" s="29" t="str">
        <x:v>Single</x:v>
      </x:c>
      <x:c r="F21" s="29" t="n">
        <x:v>2</x:v>
      </x:c>
      <x:c r="G21" s="29" t="str">
        <x:v>Uptake kinetics</x:v>
      </x:c>
      <x:c r="H21" s="40" t="n">
        <x:v>5</x:v>
      </x:c>
      <x:c r="I21" s="42" t="n">
        <x:v>30</x:v>
      </x:c>
      <x:c r="J21" s="44" t="n">
        <x:v>50</x:v>
      </x:c>
      <x:c r="K21" s="40" t="n">
        <x:v>0.354842</x:v>
      </x:c>
      <x:c r="L21" s="40" t="n">
        <x:v>0.267221</x:v>
      </x:c>
      <x:c r="M21" s="40" t="n">
        <x:v>0.753069</x:v>
      </x:c>
      <x:c r="N21" s="40" t="n">
        <x:v>0.25</x:v>
      </x:c>
      <x:c r="O21" s="46" t="n">
        <x:v>22</x:v>
      </x:c>
      <x:c r="P21" s="40" t="n">
        <x:v>0.350487</x:v>
      </x:c>
      <x:c r="Q21" s="44" t="n">
        <x:v>49.386283</x:v>
      </x:c>
      <x:c r="R21" s="29" t="str">
        <x:v>S8a</x:v>
      </x:c>
      <x:c r="S21" s="29" t="n">
        <x:v>30</x:v>
      </x:c>
      <x:c r="T21" s="29" t="n">
        <x:v>43</x:v>
      </x:c>
    </x:row>
    <x:row r="22">
      <x:c r="A22" s="29" t="n">
        <x:v>21</x:v>
      </x:c>
      <x:c r="B22" s="29" t="str">
        <x:v>Pr</x:v>
      </x:c>
      <x:c r="C22" s="29" t="str">
        <x:v>P2-APEI</x:v>
      </x:c>
      <x:c r="D22" s="29" t="str">
        <x:v>Phosphorylated</x:v>
      </x:c>
      <x:c r="E22" s="29" t="str">
        <x:v>Single</x:v>
      </x:c>
      <x:c r="F22" s="29" t="n">
        <x:v>2</x:v>
      </x:c>
      <x:c r="G22" s="29" t="str">
        <x:v>Uptake kinetics</x:v>
      </x:c>
      <x:c r="H22" s="40" t="n">
        <x:v>5</x:v>
      </x:c>
      <x:c r="I22" s="42" t="n">
        <x:v>35</x:v>
      </x:c>
      <x:c r="J22" s="44" t="n">
        <x:v>50</x:v>
      </x:c>
      <x:c r="K22" s="40" t="n">
        <x:v>0.354842</x:v>
      </x:c>
      <x:c r="L22" s="40" t="n">
        <x:v>0.267221</x:v>
      </x:c>
      <x:c r="M22" s="40" t="n">
        <x:v>0.753069</x:v>
      </x:c>
      <x:c r="N22" s="40" t="n">
        <x:v>0.25</x:v>
      </x:c>
      <x:c r="O22" s="46" t="n">
        <x:v>22</x:v>
      </x:c>
      <x:c r="P22" s="40" t="n">
        <x:v>0.350487</x:v>
      </x:c>
      <x:c r="Q22" s="44" t="n">
        <x:v>49.386283</x:v>
      </x:c>
      <x:c r="R22" s="29" t="str">
        <x:v>S8a</x:v>
      </x:c>
      <x:c r="S22" s="29" t="n">
        <x:v>30</x:v>
      </x:c>
      <x:c r="T22" s="29" t="n">
        <x:v>44</x:v>
      </x:c>
    </x:row>
    <x:row r="23">
      <x:c r="A23" s="29" t="n">
        <x:v>22</x:v>
      </x:c>
      <x:c r="B23" s="29" t="str">
        <x:v>Pr</x:v>
      </x:c>
      <x:c r="C23" s="29" t="str">
        <x:v>P2-APEI</x:v>
      </x:c>
      <x:c r="D23" s="29" t="str">
        <x:v>Phosphorylated</x:v>
      </x:c>
      <x:c r="E23" s="29" t="str">
        <x:v>Single</x:v>
      </x:c>
      <x:c r="F23" s="29" t="n">
        <x:v>2</x:v>
      </x:c>
      <x:c r="G23" s="29" t="str">
        <x:v>Uptake kinetics</x:v>
      </x:c>
      <x:c r="H23" s="40" t="n">
        <x:v>5</x:v>
      </x:c>
      <x:c r="I23" s="42" t="n">
        <x:v>40</x:v>
      </x:c>
      <x:c r="J23" s="44" t="n">
        <x:v>50</x:v>
      </x:c>
      <x:c r="K23" s="40" t="n">
        <x:v>0.354842</x:v>
      </x:c>
      <x:c r="L23" s="40" t="n">
        <x:v>0.267221</x:v>
      </x:c>
      <x:c r="M23" s="40" t="n">
        <x:v>0.753069</x:v>
      </x:c>
      <x:c r="N23" s="40" t="n">
        <x:v>0.25</x:v>
      </x:c>
      <x:c r="O23" s="46" t="n">
        <x:v>22</x:v>
      </x:c>
      <x:c r="P23" s="40" t="n">
        <x:v>0.350487</x:v>
      </x:c>
      <x:c r="Q23" s="44" t="n">
        <x:v>49.386285</x:v>
      </x:c>
      <x:c r="R23" s="29" t="str">
        <x:v>S8a</x:v>
      </x:c>
      <x:c r="S23" s="29" t="n">
        <x:v>30</x:v>
      </x:c>
      <x:c r="T23" s="29" t="n">
        <x:v>45</x:v>
      </x:c>
    </x:row>
    <x:row r="24">
      <x:c r="A24" s="29" t="n">
        <x:v>23</x:v>
      </x:c>
      <x:c r="B24" s="29" t="str">
        <x:v>Pr</x:v>
      </x:c>
      <x:c r="C24" s="29" t="str">
        <x:v>P2-APEI</x:v>
      </x:c>
      <x:c r="D24" s="29" t="str">
        <x:v>Phosphorylated</x:v>
      </x:c>
      <x:c r="E24" s="29" t="str">
        <x:v>Single</x:v>
      </x:c>
      <x:c r="F24" s="29" t="n">
        <x:v>2</x:v>
      </x:c>
      <x:c r="G24" s="29" t="str">
        <x:v>Uptake kinetics</x:v>
      </x:c>
      <x:c r="H24" s="40" t="n">
        <x:v>5</x:v>
      </x:c>
      <x:c r="I24" s="42" t="n">
        <x:v>50</x:v>
      </x:c>
      <x:c r="J24" s="44" t="n">
        <x:v>50</x:v>
      </x:c>
      <x:c r="K24" s="40" t="n">
        <x:v>0.354842</x:v>
      </x:c>
      <x:c r="L24" s="40" t="n">
        <x:v>0.267221</x:v>
      </x:c>
      <x:c r="M24" s="40" t="n">
        <x:v>0.753069</x:v>
      </x:c>
      <x:c r="N24" s="40" t="n">
        <x:v>0.25</x:v>
      </x:c>
      <x:c r="O24" s="46" t="n">
        <x:v>22</x:v>
      </x:c>
      <x:c r="P24" s="40" t="n">
        <x:v>0.350487</x:v>
      </x:c>
      <x:c r="Q24" s="44" t="n">
        <x:v>49.386288</x:v>
      </x:c>
      <x:c r="R24" s="29" t="str">
        <x:v>S8a</x:v>
      </x:c>
      <x:c r="S24" s="29" t="n">
        <x:v>30</x:v>
      </x:c>
      <x:c r="T24" s="29" t="n">
        <x:v>46</x:v>
      </x:c>
    </x:row>
    <x:row r="25">
      <x:c r="A25" s="29" t="n">
        <x:v>24</x:v>
      </x:c>
      <x:c r="B25" s="29" t="str">
        <x:v>Pr</x:v>
      </x:c>
      <x:c r="C25" s="29" t="str">
        <x:v>P2-APEI</x:v>
      </x:c>
      <x:c r="D25" s="29" t="str">
        <x:v>Phosphorylated</x:v>
      </x:c>
      <x:c r="E25" s="29" t="str">
        <x:v>Single</x:v>
      </x:c>
      <x:c r="F25" s="29" t="n">
        <x:v>2</x:v>
      </x:c>
      <x:c r="G25" s="29" t="str">
        <x:v>Uptake kinetics</x:v>
      </x:c>
      <x:c r="H25" s="40" t="n">
        <x:v>5</x:v>
      </x:c>
      <x:c r="I25" s="42" t="n">
        <x:v>60</x:v>
      </x:c>
      <x:c r="J25" s="44" t="n">
        <x:v>50</x:v>
      </x:c>
      <x:c r="K25" s="40" t="n">
        <x:v>0.354842</x:v>
      </x:c>
      <x:c r="L25" s="40" t="n">
        <x:v>0.267221</x:v>
      </x:c>
      <x:c r="M25" s="40" t="n">
        <x:v>0.753069</x:v>
      </x:c>
      <x:c r="N25" s="40" t="n">
        <x:v>0.25</x:v>
      </x:c>
      <x:c r="O25" s="46" t="n">
        <x:v>22</x:v>
      </x:c>
      <x:c r="P25" s="40" t="n">
        <x:v>0.350487</x:v>
      </x:c>
      <x:c r="Q25" s="44" t="n">
        <x:v>49.38629</x:v>
      </x:c>
      <x:c r="R25" s="29" t="str">
        <x:v>S8a</x:v>
      </x:c>
      <x:c r="S25" s="29" t="n">
        <x:v>30</x:v>
      </x:c>
      <x:c r="T25" s="29" t="n">
        <x:v>47</x:v>
      </x:c>
    </x:row>
    <x:row r="26">
      <x:c r="A26" s="29" t="n">
        <x:v>25</x:v>
      </x:c>
      <x:c r="B26" s="29" t="str">
        <x:v>Tm</x:v>
      </x:c>
      <x:c r="C26" s="29" t="str">
        <x:v>P2-APEI</x:v>
      </x:c>
      <x:c r="D26" s="29" t="str">
        <x:v>Phosphorylated</x:v>
      </x:c>
      <x:c r="E26" s="29" t="str">
        <x:v>Single</x:v>
      </x:c>
      <x:c r="F26" s="29" t="n">
        <x:v>1</x:v>
      </x:c>
      <x:c r="G26" s="29" t="str">
        <x:v>Uptake kinetics</x:v>
      </x:c>
      <x:c r="H26" s="40" t="n">
        <x:v>5</x:v>
      </x:c>
      <x:c r="I26" s="42" t="n">
        <x:v>0</x:v>
      </x:c>
      <x:c r="J26" s="44" t="n">
        <x:v>50</x:v>
      </x:c>
      <x:c r="K26" s="40" t="n">
        <x:v>0.295973</x:v>
      </x:c>
      <x:c r="L26" s="40" t="n">
        <x:v>0.295973</x:v>
      </x:c>
      <x:c r="M26" s="40" t="n">
        <x:v>1</x:v>
      </x:c>
      <x:c r="N26" s="40" t="n">
        <x:v>0.25</x:v>
      </x:c>
      <x:c r="O26" s="46" t="n">
        <x:v>22</x:v>
      </x:c>
      <x:c r="P26" s="40" t="n">
        <x:v>0</x:v>
      </x:c>
      <x:c r="Q26" s="44" t="n">
        <x:v>0</x:v>
      </x:c>
      <x:c r="R26" s="29" t="str">
        <x:v>S8a</x:v>
      </x:c>
      <x:c r="S26" s="29" t="n">
        <x:v>30</x:v>
      </x:c>
      <x:c r="T26" s="29" t="n">
        <x:v>60</x:v>
      </x:c>
    </x:row>
    <x:row r="27">
      <x:c r="A27" s="29" t="n">
        <x:v>26</x:v>
      </x:c>
      <x:c r="B27" s="29" t="str">
        <x:v>Tm</x:v>
      </x:c>
      <x:c r="C27" s="29" t="str">
        <x:v>P2-APEI</x:v>
      </x:c>
      <x:c r="D27" s="29" t="str">
        <x:v>Phosphorylated</x:v>
      </x:c>
      <x:c r="E27" s="29" t="str">
        <x:v>Single</x:v>
      </x:c>
      <x:c r="F27" s="29" t="n">
        <x:v>1</x:v>
      </x:c>
      <x:c r="G27" s="29" t="str">
        <x:v>Uptake kinetics</x:v>
      </x:c>
      <x:c r="H27" s="40" t="n">
        <x:v>5</x:v>
      </x:c>
      <x:c r="I27" s="42" t="n">
        <x:v>2</x:v>
      </x:c>
      <x:c r="J27" s="44" t="n">
        <x:v>50</x:v>
      </x:c>
      <x:c r="K27" s="40" t="n">
        <x:v>0.295973</x:v>
      </x:c>
      <x:c r="L27" s="40" t="n">
        <x:v>0.284273</x:v>
      </x:c>
      <x:c r="M27" s="40" t="n">
        <x:v>0.960468</x:v>
      </x:c>
      <x:c r="N27" s="40" t="n">
        <x:v>0.25</x:v>
      </x:c>
      <x:c r="O27" s="46" t="n">
        <x:v>22</x:v>
      </x:c>
      <x:c r="P27" s="40" t="n">
        <x:v>0.046802</x:v>
      </x:c>
      <x:c r="Q27" s="44" t="n">
        <x:v>7.906425</x:v>
      </x:c>
      <x:c r="R27" s="29" t="str">
        <x:v>S8a</x:v>
      </x:c>
      <x:c r="S27" s="29" t="n">
        <x:v>30</x:v>
      </x:c>
      <x:c r="T27" s="29" t="n">
        <x:v>61</x:v>
      </x:c>
    </x:row>
    <x:row r="28">
      <x:c r="A28" s="29" t="n">
        <x:v>27</x:v>
      </x:c>
      <x:c r="B28" s="29" t="str">
        <x:v>Tm</x:v>
      </x:c>
      <x:c r="C28" s="29" t="str">
        <x:v>P2-APEI</x:v>
      </x:c>
      <x:c r="D28" s="29" t="str">
        <x:v>Phosphorylated</x:v>
      </x:c>
      <x:c r="E28" s="29" t="str">
        <x:v>Single</x:v>
      </x:c>
      <x:c r="F28" s="29" t="n">
        <x:v>1</x:v>
      </x:c>
      <x:c r="G28" s="29" t="str">
        <x:v>Uptake kinetics</x:v>
      </x:c>
      <x:c r="H28" s="40" t="n">
        <x:v>5</x:v>
      </x:c>
      <x:c r="I28" s="42" t="n">
        <x:v>5</x:v>
      </x:c>
      <x:c r="J28" s="44" t="n">
        <x:v>50</x:v>
      </x:c>
      <x:c r="K28" s="40" t="n">
        <x:v>0.295973</x:v>
      </x:c>
      <x:c r="L28" s="40" t="n">
        <x:v>0.264719</x:v>
      </x:c>
      <x:c r="M28" s="40" t="n">
        <x:v>0.894403</x:v>
      </x:c>
      <x:c r="N28" s="40" t="n">
        <x:v>0.25</x:v>
      </x:c>
      <x:c r="O28" s="46" t="n">
        <x:v>22</x:v>
      </x:c>
      <x:c r="P28" s="40" t="n">
        <x:v>0.125016</x:v>
      </x:c>
      <x:c r="Q28" s="44" t="n">
        <x:v>21.119421</x:v>
      </x:c>
      <x:c r="R28" s="29" t="str">
        <x:v>S8a</x:v>
      </x:c>
      <x:c r="S28" s="29" t="n">
        <x:v>30</x:v>
      </x:c>
      <x:c r="T28" s="29" t="n">
        <x:v>62</x:v>
      </x:c>
    </x:row>
    <x:row r="29">
      <x:c r="A29" s="29" t="n">
        <x:v>28</x:v>
      </x:c>
      <x:c r="B29" s="29" t="str">
        <x:v>Tm</x:v>
      </x:c>
      <x:c r="C29" s="29" t="str">
        <x:v>P2-APEI</x:v>
      </x:c>
      <x:c r="D29" s="29" t="str">
        <x:v>Phosphorylated</x:v>
      </x:c>
      <x:c r="E29" s="29" t="str">
        <x:v>Single</x:v>
      </x:c>
      <x:c r="F29" s="29" t="n">
        <x:v>1</x:v>
      </x:c>
      <x:c r="G29" s="29" t="str">
        <x:v>Uptake kinetics</x:v>
      </x:c>
      <x:c r="H29" s="40" t="n">
        <x:v>5</x:v>
      </x:c>
      <x:c r="I29" s="42" t="n">
        <x:v>10</x:v>
      </x:c>
      <x:c r="J29" s="44" t="n">
        <x:v>50</x:v>
      </x:c>
      <x:c r="K29" s="40" t="n">
        <x:v>0.295973</x:v>
      </x:c>
      <x:c r="L29" s="40" t="n">
        <x:v>0.250295</x:v>
      </x:c>
      <x:c r="M29" s="40" t="n">
        <x:v>0.845666</x:v>
      </x:c>
      <x:c r="N29" s="40" t="n">
        <x:v>0.25</x:v>
      </x:c>
      <x:c r="O29" s="46" t="n">
        <x:v>22</x:v>
      </x:c>
      <x:c r="P29" s="40" t="n">
        <x:v>0.182714</x:v>
      </x:c>
      <x:c r="Q29" s="44" t="n">
        <x:v>30.866714</x:v>
      </x:c>
      <x:c r="R29" s="29" t="str">
        <x:v>S8a</x:v>
      </x:c>
      <x:c r="S29" s="29" t="n">
        <x:v>30</x:v>
      </x:c>
      <x:c r="T29" s="29" t="n">
        <x:v>63</x:v>
      </x:c>
    </x:row>
    <x:row r="30">
      <x:c r="A30" s="29" t="n">
        <x:v>29</x:v>
      </x:c>
      <x:c r="B30" s="29" t="str">
        <x:v>Tm</x:v>
      </x:c>
      <x:c r="C30" s="29" t="str">
        <x:v>P2-APEI</x:v>
      </x:c>
      <x:c r="D30" s="29" t="str">
        <x:v>Phosphorylated</x:v>
      </x:c>
      <x:c r="E30" s="29" t="str">
        <x:v>Single</x:v>
      </x:c>
      <x:c r="F30" s="29" t="n">
        <x:v>1</x:v>
      </x:c>
      <x:c r="G30" s="29" t="str">
        <x:v>Uptake kinetics</x:v>
      </x:c>
      <x:c r="H30" s="40" t="n">
        <x:v>5</x:v>
      </x:c>
      <x:c r="I30" s="42" t="n">
        <x:v>15</x:v>
      </x:c>
      <x:c r="J30" s="44" t="n">
        <x:v>50</x:v>
      </x:c>
      <x:c r="K30" s="40" t="n">
        <x:v>0.295973</x:v>
      </x:c>
      <x:c r="L30" s="40" t="n">
        <x:v>0.234908</x:v>
      </x:c>
      <x:c r="M30" s="40" t="n">
        <x:v>0.793681</x:v>
      </x:c>
      <x:c r="N30" s="40" t="n">
        <x:v>0.25</x:v>
      </x:c>
      <x:c r="O30" s="46" t="n">
        <x:v>22</x:v>
      </x:c>
      <x:c r="P30" s="40" t="n">
        <x:v>0.24426</x:v>
      </x:c>
      <x:c r="Q30" s="44" t="n">
        <x:v>41.263825</x:v>
      </x:c>
      <x:c r="R30" s="29" t="str">
        <x:v>S8a</x:v>
      </x:c>
      <x:c r="S30" s="29" t="n">
        <x:v>30</x:v>
      </x:c>
      <x:c r="T30" s="29" t="n">
        <x:v>64</x:v>
      </x:c>
    </x:row>
    <x:row r="31">
      <x:c r="A31" s="29" t="n">
        <x:v>30</x:v>
      </x:c>
      <x:c r="B31" s="29" t="str">
        <x:v>Tm</x:v>
      </x:c>
      <x:c r="C31" s="29" t="str">
        <x:v>P2-APEI</x:v>
      </x:c>
      <x:c r="D31" s="29" t="str">
        <x:v>Phosphorylated</x:v>
      </x:c>
      <x:c r="E31" s="29" t="str">
        <x:v>Single</x:v>
      </x:c>
      <x:c r="F31" s="29" t="n">
        <x:v>1</x:v>
      </x:c>
      <x:c r="G31" s="29" t="str">
        <x:v>Uptake kinetics</x:v>
      </x:c>
      <x:c r="H31" s="40" t="n">
        <x:v>5</x:v>
      </x:c>
      <x:c r="I31" s="42" t="n">
        <x:v>20</x:v>
      </x:c>
      <x:c r="J31" s="44" t="n">
        <x:v>50</x:v>
      </x:c>
      <x:c r="K31" s="40" t="n">
        <x:v>0.295973</x:v>
      </x:c>
      <x:c r="L31" s="40" t="n">
        <x:v>0.232985</x:v>
      </x:c>
      <x:c r="M31" s="40" t="n">
        <x:v>0.787183</x:v>
      </x:c>
      <x:c r="N31" s="40" t="n">
        <x:v>0.25</x:v>
      </x:c>
      <x:c r="O31" s="46" t="n">
        <x:v>22</x:v>
      </x:c>
      <x:c r="P31" s="40" t="n">
        <x:v>0.251952</x:v>
      </x:c>
      <x:c r="Q31" s="44" t="n">
        <x:v>42.563322</x:v>
      </x:c>
      <x:c r="R31" s="29" t="str">
        <x:v>S8a</x:v>
      </x:c>
      <x:c r="S31" s="29" t="n">
        <x:v>30</x:v>
      </x:c>
      <x:c r="T31" s="29" t="n">
        <x:v>65</x:v>
      </x:c>
    </x:row>
    <x:row r="32">
      <x:c r="A32" s="29" t="n">
        <x:v>31</x:v>
      </x:c>
      <x:c r="B32" s="29" t="str">
        <x:v>Tm</x:v>
      </x:c>
      <x:c r="C32" s="29" t="str">
        <x:v>P2-APEI</x:v>
      </x:c>
      <x:c r="D32" s="29" t="str">
        <x:v>Phosphorylated</x:v>
      </x:c>
      <x:c r="E32" s="29" t="str">
        <x:v>Single</x:v>
      </x:c>
      <x:c r="F32" s="29" t="n">
        <x:v>1</x:v>
      </x:c>
      <x:c r="G32" s="29" t="str">
        <x:v>Uptake kinetics</x:v>
      </x:c>
      <x:c r="H32" s="40" t="n">
        <x:v>5</x:v>
      </x:c>
      <x:c r="I32" s="42" t="n">
        <x:v>25</x:v>
      </x:c>
      <x:c r="J32" s="44" t="n">
        <x:v>50</x:v>
      </x:c>
      <x:c r="K32" s="40" t="n">
        <x:v>0.295973</x:v>
      </x:c>
      <x:c r="L32" s="40" t="n">
        <x:v>0.232344</x:v>
      </x:c>
      <x:c r="M32" s="40" t="n">
        <x:v>0.785017</x:v>
      </x:c>
      <x:c r="N32" s="40" t="n">
        <x:v>0.25</x:v>
      </x:c>
      <x:c r="O32" s="46" t="n">
        <x:v>22</x:v>
      </x:c>
      <x:c r="P32" s="40" t="n">
        <x:v>0.254516</x:v>
      </x:c>
      <x:c r="Q32" s="44" t="n">
        <x:v>42.996536</x:v>
      </x:c>
      <x:c r="R32" s="29" t="str">
        <x:v>S8a</x:v>
      </x:c>
      <x:c r="S32" s="29" t="n">
        <x:v>30</x:v>
      </x:c>
      <x:c r="T32" s="29" t="n">
        <x:v>66</x:v>
      </x:c>
    </x:row>
    <x:row r="33">
      <x:c r="A33" s="29" t="n">
        <x:v>32</x:v>
      </x:c>
      <x:c r="B33" s="29" t="str">
        <x:v>Tm</x:v>
      </x:c>
      <x:c r="C33" s="29" t="str">
        <x:v>P2-APEI</x:v>
      </x:c>
      <x:c r="D33" s="29" t="str">
        <x:v>Phosphorylated</x:v>
      </x:c>
      <x:c r="E33" s="29" t="str">
        <x:v>Single</x:v>
      </x:c>
      <x:c r="F33" s="29" t="n">
        <x:v>1</x:v>
      </x:c>
      <x:c r="G33" s="29" t="str">
        <x:v>Uptake kinetics</x:v>
      </x:c>
      <x:c r="H33" s="40" t="n">
        <x:v>5</x:v>
      </x:c>
      <x:c r="I33" s="42" t="n">
        <x:v>30</x:v>
      </x:c>
      <x:c r="J33" s="44" t="n">
        <x:v>50</x:v>
      </x:c>
      <x:c r="K33" s="40" t="n">
        <x:v>0.295973</x:v>
      </x:c>
      <x:c r="L33" s="40" t="n">
        <x:v>0.232344</x:v>
      </x:c>
      <x:c r="M33" s="40" t="n">
        <x:v>0.785017</x:v>
      </x:c>
      <x:c r="N33" s="40" t="n">
        <x:v>0.25</x:v>
      </x:c>
      <x:c r="O33" s="46" t="n">
        <x:v>22</x:v>
      </x:c>
      <x:c r="P33" s="40" t="n">
        <x:v>0.254516</x:v>
      </x:c>
      <x:c r="Q33" s="44" t="n">
        <x:v>42.996536</x:v>
      </x:c>
      <x:c r="R33" s="29" t="str">
        <x:v>S8a</x:v>
      </x:c>
      <x:c r="S33" s="29" t="n">
        <x:v>30</x:v>
      </x:c>
      <x:c r="T33" s="29" t="n">
        <x:v>67</x:v>
      </x:c>
    </x:row>
    <x:row r="34">
      <x:c r="A34" s="29" t="n">
        <x:v>33</x:v>
      </x:c>
      <x:c r="B34" s="29" t="str">
        <x:v>Tm</x:v>
      </x:c>
      <x:c r="C34" s="29" t="str">
        <x:v>P2-APEI</x:v>
      </x:c>
      <x:c r="D34" s="29" t="str">
        <x:v>Phosphorylated</x:v>
      </x:c>
      <x:c r="E34" s="29" t="str">
        <x:v>Single</x:v>
      </x:c>
      <x:c r="F34" s="29" t="n">
        <x:v>1</x:v>
      </x:c>
      <x:c r="G34" s="29" t="str">
        <x:v>Uptake kinetics</x:v>
      </x:c>
      <x:c r="H34" s="40" t="n">
        <x:v>5</x:v>
      </x:c>
      <x:c r="I34" s="42" t="n">
        <x:v>35</x:v>
      </x:c>
      <x:c r="J34" s="44" t="n">
        <x:v>50</x:v>
      </x:c>
      <x:c r="K34" s="40" t="n">
        <x:v>0.295973</x:v>
      </x:c>
      <x:c r="L34" s="40" t="n">
        <x:v>0.232344</x:v>
      </x:c>
      <x:c r="M34" s="40" t="n">
        <x:v>0.785017</x:v>
      </x:c>
      <x:c r="N34" s="40" t="n">
        <x:v>0.25</x:v>
      </x:c>
      <x:c r="O34" s="46" t="n">
        <x:v>22</x:v>
      </x:c>
      <x:c r="P34" s="40" t="n">
        <x:v>0.254516</x:v>
      </x:c>
      <x:c r="Q34" s="44" t="n">
        <x:v>42.996536</x:v>
      </x:c>
      <x:c r="R34" s="29" t="str">
        <x:v>S8a</x:v>
      </x:c>
      <x:c r="S34" s="29" t="n">
        <x:v>30</x:v>
      </x:c>
      <x:c r="T34" s="29" t="n">
        <x:v>68</x:v>
      </x:c>
    </x:row>
    <x:row r="35">
      <x:c r="A35" s="29" t="n">
        <x:v>34</x:v>
      </x:c>
      <x:c r="B35" s="29" t="str">
        <x:v>Tm</x:v>
      </x:c>
      <x:c r="C35" s="29" t="str">
        <x:v>P2-APEI</x:v>
      </x:c>
      <x:c r="D35" s="29" t="str">
        <x:v>Phosphorylated</x:v>
      </x:c>
      <x:c r="E35" s="29" t="str">
        <x:v>Single</x:v>
      </x:c>
      <x:c r="F35" s="29" t="n">
        <x:v>1</x:v>
      </x:c>
      <x:c r="G35" s="29" t="str">
        <x:v>Uptake kinetics</x:v>
      </x:c>
      <x:c r="H35" s="40" t="n">
        <x:v>5</x:v>
      </x:c>
      <x:c r="I35" s="42" t="n">
        <x:v>40</x:v>
      </x:c>
      <x:c r="J35" s="44" t="n">
        <x:v>50</x:v>
      </x:c>
      <x:c r="K35" s="40" t="n">
        <x:v>0.295973</x:v>
      </x:c>
      <x:c r="L35" s="40" t="n">
        <x:v>0.232024</x:v>
      </x:c>
      <x:c r="M35" s="40" t="n">
        <x:v>0.783934</x:v>
      </x:c>
      <x:c r="N35" s="40" t="n">
        <x:v>0.25</x:v>
      </x:c>
      <x:c r="O35" s="46" t="n">
        <x:v>22</x:v>
      </x:c>
      <x:c r="P35" s="40" t="n">
        <x:v>0.255799</x:v>
      </x:c>
      <x:c r="Q35" s="44" t="n">
        <x:v>43.213147</x:v>
      </x:c>
      <x:c r="R35" s="29" t="str">
        <x:v>S8a</x:v>
      </x:c>
      <x:c r="S35" s="29" t="n">
        <x:v>30</x:v>
      </x:c>
      <x:c r="T35" s="29" t="n">
        <x:v>69</x:v>
      </x:c>
    </x:row>
    <x:row r="36">
      <x:c r="A36" s="29" t="n">
        <x:v>35</x:v>
      </x:c>
      <x:c r="B36" s="29" t="str">
        <x:v>Tm</x:v>
      </x:c>
      <x:c r="C36" s="29" t="str">
        <x:v>P2-APEI</x:v>
      </x:c>
      <x:c r="D36" s="29" t="str">
        <x:v>Phosphorylated</x:v>
      </x:c>
      <x:c r="E36" s="29" t="str">
        <x:v>Single</x:v>
      </x:c>
      <x:c r="F36" s="29" t="n">
        <x:v>1</x:v>
      </x:c>
      <x:c r="G36" s="29" t="str">
        <x:v>Uptake kinetics</x:v>
      </x:c>
      <x:c r="H36" s="40" t="n">
        <x:v>5</x:v>
      </x:c>
      <x:c r="I36" s="42" t="n">
        <x:v>50</x:v>
      </x:c>
      <x:c r="J36" s="44" t="n">
        <x:v>50</x:v>
      </x:c>
      <x:c r="K36" s="40" t="n">
        <x:v>0.295973</x:v>
      </x:c>
      <x:c r="L36" s="40" t="n">
        <x:v>0.232344</x:v>
      </x:c>
      <x:c r="M36" s="40" t="n">
        <x:v>0.785017</x:v>
      </x:c>
      <x:c r="N36" s="40" t="n">
        <x:v>0.25</x:v>
      </x:c>
      <x:c r="O36" s="46" t="n">
        <x:v>22</x:v>
      </x:c>
      <x:c r="P36" s="40" t="n">
        <x:v>0.254516</x:v>
      </x:c>
      <x:c r="Q36" s="44" t="n">
        <x:v>42.996543</x:v>
      </x:c>
      <x:c r="R36" s="29" t="str">
        <x:v>S8a</x:v>
      </x:c>
      <x:c r="S36" s="29" t="n">
        <x:v>30</x:v>
      </x:c>
      <x:c r="T36" s="29" t="n">
        <x:v>70</x:v>
      </x:c>
    </x:row>
    <x:row r="37">
      <x:c r="A37" s="29" t="n">
        <x:v>36</x:v>
      </x:c>
      <x:c r="B37" s="29" t="str">
        <x:v>Tm</x:v>
      </x:c>
      <x:c r="C37" s="29" t="str">
        <x:v>P2-APEI</x:v>
      </x:c>
      <x:c r="D37" s="29" t="str">
        <x:v>Phosphorylated</x:v>
      </x:c>
      <x:c r="E37" s="29" t="str">
        <x:v>Single</x:v>
      </x:c>
      <x:c r="F37" s="29" t="n">
        <x:v>1</x:v>
      </x:c>
      <x:c r="G37" s="29" t="str">
        <x:v>Uptake kinetics</x:v>
      </x:c>
      <x:c r="H37" s="40" t="n">
        <x:v>5</x:v>
      </x:c>
      <x:c r="I37" s="42" t="n">
        <x:v>60</x:v>
      </x:c>
      <x:c r="J37" s="44" t="n">
        <x:v>50</x:v>
      </x:c>
      <x:c r="K37" s="40" t="n">
        <x:v>0.295973</x:v>
      </x:c>
      <x:c r="L37" s="40" t="n">
        <x:v>0.232344</x:v>
      </x:c>
      <x:c r="M37" s="40" t="n">
        <x:v>0.785017</x:v>
      </x:c>
      <x:c r="N37" s="40" t="n">
        <x:v>0.25</x:v>
      </x:c>
      <x:c r="O37" s="46" t="n">
        <x:v>22</x:v>
      </x:c>
      <x:c r="P37" s="40" t="n">
        <x:v>0.254516</x:v>
      </x:c>
      <x:c r="Q37" s="44" t="n">
        <x:v>42.996545</x:v>
      </x:c>
      <x:c r="R37" s="29" t="str">
        <x:v>S8a</x:v>
      </x:c>
      <x:c r="S37" s="29" t="n">
        <x:v>30</x:v>
      </x:c>
      <x:c r="T37" s="29" t="n">
        <x:v>71</x:v>
      </x:c>
    </x:row>
    <x:row r="38">
      <x:c r="A38" s="29" t="n">
        <x:v>37</x:v>
      </x:c>
      <x:c r="B38" s="29" t="str">
        <x:v>Tm</x:v>
      </x:c>
      <x:c r="C38" s="29" t="str">
        <x:v>P2-APEI</x:v>
      </x:c>
      <x:c r="D38" s="29" t="str">
        <x:v>Phosphorylated</x:v>
      </x:c>
      <x:c r="E38" s="29" t="str">
        <x:v>Single</x:v>
      </x:c>
      <x:c r="F38" s="29" t="n">
        <x:v>2</x:v>
      </x:c>
      <x:c r="G38" s="29" t="str">
        <x:v>Uptake kinetics</x:v>
      </x:c>
      <x:c r="H38" s="40" t="n">
        <x:v>5</x:v>
      </x:c>
      <x:c r="I38" s="42" t="n">
        <x:v>0</x:v>
      </x:c>
      <x:c r="J38" s="44" t="n">
        <x:v>50</x:v>
      </x:c>
      <x:c r="K38" s="40" t="n">
        <x:v>0.295973</x:v>
      </x:c>
      <x:c r="L38" s="40" t="n">
        <x:v>0.295973</x:v>
      </x:c>
      <x:c r="M38" s="40" t="n">
        <x:v>1</x:v>
      </x:c>
      <x:c r="N38" s="40" t="n">
        <x:v>0.25</x:v>
      </x:c>
      <x:c r="O38" s="46" t="n">
        <x:v>22</x:v>
      </x:c>
      <x:c r="P38" s="40" t="n">
        <x:v>0</x:v>
      </x:c>
      <x:c r="Q38" s="44" t="n">
        <x:v>0</x:v>
      </x:c>
      <x:c r="R38" s="29" t="str">
        <x:v>S8a</x:v>
      </x:c>
      <x:c r="S38" s="29" t="n">
        <x:v>30</x:v>
      </x:c>
      <x:c r="T38" s="29" t="n">
        <x:v>72</x:v>
      </x:c>
    </x:row>
    <x:row r="39">
      <x:c r="A39" s="29" t="n">
        <x:v>38</x:v>
      </x:c>
      <x:c r="B39" s="29" t="str">
        <x:v>Tm</x:v>
      </x:c>
      <x:c r="C39" s="29" t="str">
        <x:v>P2-APEI</x:v>
      </x:c>
      <x:c r="D39" s="29" t="str">
        <x:v>Phosphorylated</x:v>
      </x:c>
      <x:c r="E39" s="29" t="str">
        <x:v>Single</x:v>
      </x:c>
      <x:c r="F39" s="29" t="n">
        <x:v>2</x:v>
      </x:c>
      <x:c r="G39" s="29" t="str">
        <x:v>Uptake kinetics</x:v>
      </x:c>
      <x:c r="H39" s="40" t="n">
        <x:v>5</x:v>
      </x:c>
      <x:c r="I39" s="42" t="n">
        <x:v>2</x:v>
      </x:c>
      <x:c r="J39" s="44" t="n">
        <x:v>50</x:v>
      </x:c>
      <x:c r="K39" s="40" t="n">
        <x:v>0.295973</x:v>
      </x:c>
      <x:c r="L39" s="40" t="n">
        <x:v>0.28828</x:v>
      </x:c>
      <x:c r="M39" s="40" t="n">
        <x:v>0.974006</x:v>
      </x:c>
      <x:c r="N39" s="40" t="n">
        <x:v>0.25</x:v>
      </x:c>
      <x:c r="O39" s="46" t="n">
        <x:v>22</x:v>
      </x:c>
      <x:c r="P39" s="40" t="n">
        <x:v>0.030774</x:v>
      </x:c>
      <x:c r="Q39" s="44" t="n">
        <x:v>5.198845</x:v>
      </x:c>
      <x:c r="R39" s="29" t="str">
        <x:v>S8a</x:v>
      </x:c>
      <x:c r="S39" s="29" t="n">
        <x:v>30</x:v>
      </x:c>
      <x:c r="T39" s="29" t="n">
        <x:v>73</x:v>
      </x:c>
    </x:row>
    <x:row r="40">
      <x:c r="A40" s="29" t="n">
        <x:v>39</x:v>
      </x:c>
      <x:c r="B40" s="29" t="str">
        <x:v>Tm</x:v>
      </x:c>
      <x:c r="C40" s="29" t="str">
        <x:v>P2-APEI</x:v>
      </x:c>
      <x:c r="D40" s="29" t="str">
        <x:v>Phosphorylated</x:v>
      </x:c>
      <x:c r="E40" s="29" t="str">
        <x:v>Single</x:v>
      </x:c>
      <x:c r="F40" s="29" t="n">
        <x:v>2</x:v>
      </x:c>
      <x:c r="G40" s="29" t="str">
        <x:v>Uptake kinetics</x:v>
      </x:c>
      <x:c r="H40" s="40" t="n">
        <x:v>5</x:v>
      </x:c>
      <x:c r="I40" s="42" t="n">
        <x:v>5</x:v>
      </x:c>
      <x:c r="J40" s="44" t="n">
        <x:v>50</x:v>
      </x:c>
      <x:c r="K40" s="40" t="n">
        <x:v>0.295973</x:v>
      </x:c>
      <x:c r="L40" s="40" t="n">
        <x:v>0.2652</x:v>
      </x:c>
      <x:c r="M40" s="40" t="n">
        <x:v>0.896027</x:v>
      </x:c>
      <x:c r="N40" s="40" t="n">
        <x:v>0.25</x:v>
      </x:c>
      <x:c r="O40" s="46" t="n">
        <x:v>22</x:v>
      </x:c>
      <x:c r="P40" s="40" t="n">
        <x:v>0.123092</x:v>
      </x:c>
      <x:c r="Q40" s="44" t="n">
        <x:v>20.794512</x:v>
      </x:c>
      <x:c r="R40" s="29" t="str">
        <x:v>S8a</x:v>
      </x:c>
      <x:c r="S40" s="29" t="n">
        <x:v>30</x:v>
      </x:c>
      <x:c r="T40" s="29" t="n">
        <x:v>74</x:v>
      </x:c>
    </x:row>
    <x:row r="41">
      <x:c r="A41" s="29" t="n">
        <x:v>40</x:v>
      </x:c>
      <x:c r="B41" s="29" t="str">
        <x:v>Tm</x:v>
      </x:c>
      <x:c r="C41" s="29" t="str">
        <x:v>P2-APEI</x:v>
      </x:c>
      <x:c r="D41" s="29" t="str">
        <x:v>Phosphorylated</x:v>
      </x:c>
      <x:c r="E41" s="29" t="str">
        <x:v>Single</x:v>
      </x:c>
      <x:c r="F41" s="29" t="n">
        <x:v>2</x:v>
      </x:c>
      <x:c r="G41" s="29" t="str">
        <x:v>Uptake kinetics</x:v>
      </x:c>
      <x:c r="H41" s="40" t="n">
        <x:v>5</x:v>
      </x:c>
      <x:c r="I41" s="42" t="n">
        <x:v>10</x:v>
      </x:c>
      <x:c r="J41" s="44" t="n">
        <x:v>50</x:v>
      </x:c>
      <x:c r="K41" s="40" t="n">
        <x:v>0.295973</x:v>
      </x:c>
      <x:c r="L41" s="40" t="n">
        <x:v>0.250134</x:v>
      </x:c>
      <x:c r="M41" s="40" t="n">
        <x:v>0.845125</x:v>
      </x:c>
      <x:c r="N41" s="40" t="n">
        <x:v>0.25</x:v>
      </x:c>
      <x:c r="O41" s="46" t="n">
        <x:v>22</x:v>
      </x:c>
      <x:c r="P41" s="40" t="n">
        <x:v>0.183355</x:v>
      </x:c>
      <x:c r="Q41" s="44" t="n">
        <x:v>30.975017</x:v>
      </x:c>
      <x:c r="R41" s="29" t="str">
        <x:v>S8a</x:v>
      </x:c>
      <x:c r="S41" s="29" t="n">
        <x:v>30</x:v>
      </x:c>
      <x:c r="T41" s="29" t="n">
        <x:v>75</x:v>
      </x:c>
    </x:row>
    <x:row r="42">
      <x:c r="A42" s="29" t="n">
        <x:v>41</x:v>
      </x:c>
      <x:c r="B42" s="29" t="str">
        <x:v>Tm</x:v>
      </x:c>
      <x:c r="C42" s="29" t="str">
        <x:v>P2-APEI</x:v>
      </x:c>
      <x:c r="D42" s="29" t="str">
        <x:v>Phosphorylated</x:v>
      </x:c>
      <x:c r="E42" s="29" t="str">
        <x:v>Single</x:v>
      </x:c>
      <x:c r="F42" s="29" t="n">
        <x:v>2</x:v>
      </x:c>
      <x:c r="G42" s="29" t="str">
        <x:v>Uptake kinetics</x:v>
      </x:c>
      <x:c r="H42" s="40" t="n">
        <x:v>5</x:v>
      </x:c>
      <x:c r="I42" s="42" t="n">
        <x:v>15</x:v>
      </x:c>
      <x:c r="J42" s="44" t="n">
        <x:v>50</x:v>
      </x:c>
      <x:c r="K42" s="40" t="n">
        <x:v>0.295973</x:v>
      </x:c>
      <x:c r="L42" s="40" t="n">
        <x:v>0.233466</x:v>
      </x:c>
      <x:c r="M42" s="40" t="n">
        <x:v>0.788808</x:v>
      </x:c>
      <x:c r="N42" s="40" t="n">
        <x:v>0.25</x:v>
      </x:c>
      <x:c r="O42" s="46" t="n">
        <x:v>22</x:v>
      </x:c>
      <x:c r="P42" s="40" t="n">
        <x:v>0.250029</x:v>
      </x:c>
      <x:c r="Q42" s="44" t="n">
        <x:v>42.23841</x:v>
      </x:c>
      <x:c r="R42" s="29" t="str">
        <x:v>S8a</x:v>
      </x:c>
      <x:c r="S42" s="29" t="n">
        <x:v>30</x:v>
      </x:c>
      <x:c r="T42" s="29" t="n">
        <x:v>76</x:v>
      </x:c>
    </x:row>
    <x:row r="43">
      <x:c r="A43" s="29" t="n">
        <x:v>42</x:v>
      </x:c>
      <x:c r="B43" s="29" t="str">
        <x:v>Tm</x:v>
      </x:c>
      <x:c r="C43" s="29" t="str">
        <x:v>P2-APEI</x:v>
      </x:c>
      <x:c r="D43" s="29" t="str">
        <x:v>Phosphorylated</x:v>
      </x:c>
      <x:c r="E43" s="29" t="str">
        <x:v>Single</x:v>
      </x:c>
      <x:c r="F43" s="29" t="n">
        <x:v>2</x:v>
      </x:c>
      <x:c r="G43" s="29" t="str">
        <x:v>Uptake kinetics</x:v>
      </x:c>
      <x:c r="H43" s="40" t="n">
        <x:v>5</x:v>
      </x:c>
      <x:c r="I43" s="42" t="n">
        <x:v>20</x:v>
      </x:c>
      <x:c r="J43" s="44" t="n">
        <x:v>50</x:v>
      </x:c>
      <x:c r="K43" s="40" t="n">
        <x:v>0.295973</x:v>
      </x:c>
      <x:c r="L43" s="40" t="n">
        <x:v>0.230902</x:v>
      </x:c>
      <x:c r="M43" s="40" t="n">
        <x:v>0.780144</x:v>
      </x:c>
      <x:c r="N43" s="40" t="n">
        <x:v>0.25</x:v>
      </x:c>
      <x:c r="O43" s="46" t="n">
        <x:v>22</x:v>
      </x:c>
      <x:c r="P43" s="40" t="n">
        <x:v>0.260285</x:v>
      </x:c>
      <x:c r="Q43" s="44" t="n">
        <x:v>43.971119</x:v>
      </x:c>
      <x:c r="R43" s="29" t="str">
        <x:v>S8a</x:v>
      </x:c>
      <x:c r="S43" s="29" t="n">
        <x:v>30</x:v>
      </x:c>
      <x:c r="T43" s="29" t="n">
        <x:v>77</x:v>
      </x:c>
    </x:row>
    <x:row r="44">
      <x:c r="A44" s="29" t="n">
        <x:v>43</x:v>
      </x:c>
      <x:c r="B44" s="29" t="str">
        <x:v>Tm</x:v>
      </x:c>
      <x:c r="C44" s="29" t="str">
        <x:v>P2-APEI</x:v>
      </x:c>
      <x:c r="D44" s="29" t="str">
        <x:v>Phosphorylated</x:v>
      </x:c>
      <x:c r="E44" s="29" t="str">
        <x:v>Single</x:v>
      </x:c>
      <x:c r="F44" s="29" t="n">
        <x:v>2</x:v>
      </x:c>
      <x:c r="G44" s="29" t="str">
        <x:v>Uptake kinetics</x:v>
      </x:c>
      <x:c r="H44" s="40" t="n">
        <x:v>5</x:v>
      </x:c>
      <x:c r="I44" s="42" t="n">
        <x:v>25</x:v>
      </x:c>
      <x:c r="J44" s="44" t="n">
        <x:v>50</x:v>
      </x:c>
      <x:c r="K44" s="40" t="n">
        <x:v>0.295973</x:v>
      </x:c>
      <x:c r="L44" s="40" t="n">
        <x:v>0.230902</x:v>
      </x:c>
      <x:c r="M44" s="40" t="n">
        <x:v>0.780144</x:v>
      </x:c>
      <x:c r="N44" s="40" t="n">
        <x:v>0.25</x:v>
      </x:c>
      <x:c r="O44" s="46" t="n">
        <x:v>22</x:v>
      </x:c>
      <x:c r="P44" s="40" t="n">
        <x:v>0.260285</x:v>
      </x:c>
      <x:c r="Q44" s="44" t="n">
        <x:v>43.971119</x:v>
      </x:c>
      <x:c r="R44" s="29" t="str">
        <x:v>S8a</x:v>
      </x:c>
      <x:c r="S44" s="29" t="n">
        <x:v>30</x:v>
      </x:c>
      <x:c r="T44" s="29" t="n">
        <x:v>78</x:v>
      </x:c>
    </x:row>
    <x:row r="45">
      <x:c r="A45" s="29" t="n">
        <x:v>44</x:v>
      </x:c>
      <x:c r="B45" s="29" t="str">
        <x:v>Tm</x:v>
      </x:c>
      <x:c r="C45" s="29" t="str">
        <x:v>P2-APEI</x:v>
      </x:c>
      <x:c r="D45" s="29" t="str">
        <x:v>Phosphorylated</x:v>
      </x:c>
      <x:c r="E45" s="29" t="str">
        <x:v>Single</x:v>
      </x:c>
      <x:c r="F45" s="29" t="n">
        <x:v>2</x:v>
      </x:c>
      <x:c r="G45" s="29" t="str">
        <x:v>Uptake kinetics</x:v>
      </x:c>
      <x:c r="H45" s="40" t="n">
        <x:v>5</x:v>
      </x:c>
      <x:c r="I45" s="42" t="n">
        <x:v>30</x:v>
      </x:c>
      <x:c r="J45" s="44" t="n">
        <x:v>50</x:v>
      </x:c>
      <x:c r="K45" s="40" t="n">
        <x:v>0.295973</x:v>
      </x:c>
      <x:c r="L45" s="40" t="n">
        <x:v>0.230581</x:v>
      </x:c>
      <x:c r="M45" s="40" t="n">
        <x:v>0.779061</x:v>
      </x:c>
      <x:c r="N45" s="40" t="n">
        <x:v>0.25</x:v>
      </x:c>
      <x:c r="O45" s="46" t="n">
        <x:v>22</x:v>
      </x:c>
      <x:c r="P45" s="40" t="n">
        <x:v>0.261568</x:v>
      </x:c>
      <x:c r="Q45" s="44" t="n">
        <x:v>44.187728</x:v>
      </x:c>
      <x:c r="R45" s="29" t="str">
        <x:v>S8a</x:v>
      </x:c>
      <x:c r="S45" s="29" t="n">
        <x:v>30</x:v>
      </x:c>
      <x:c r="T45" s="29" t="n">
        <x:v>79</x:v>
      </x:c>
    </x:row>
    <x:row r="46">
      <x:c r="A46" s="29" t="n">
        <x:v>45</x:v>
      </x:c>
      <x:c r="B46" s="29" t="str">
        <x:v>Tm</x:v>
      </x:c>
      <x:c r="C46" s="29" t="str">
        <x:v>P2-APEI</x:v>
      </x:c>
      <x:c r="D46" s="29" t="str">
        <x:v>Phosphorylated</x:v>
      </x:c>
      <x:c r="E46" s="29" t="str">
        <x:v>Single</x:v>
      </x:c>
      <x:c r="F46" s="29" t="n">
        <x:v>2</x:v>
      </x:c>
      <x:c r="G46" s="29" t="str">
        <x:v>Uptake kinetics</x:v>
      </x:c>
      <x:c r="H46" s="40" t="n">
        <x:v>5</x:v>
      </x:c>
      <x:c r="I46" s="42" t="n">
        <x:v>35</x:v>
      </x:c>
      <x:c r="J46" s="44" t="n">
        <x:v>50</x:v>
      </x:c>
      <x:c r="K46" s="40" t="n">
        <x:v>0.295973</x:v>
      </x:c>
      <x:c r="L46" s="40" t="n">
        <x:v>0.230581</x:v>
      </x:c>
      <x:c r="M46" s="40" t="n">
        <x:v>0.779061</x:v>
      </x:c>
      <x:c r="N46" s="40" t="n">
        <x:v>0.25</x:v>
      </x:c>
      <x:c r="O46" s="46" t="n">
        <x:v>22</x:v>
      </x:c>
      <x:c r="P46" s="40" t="n">
        <x:v>0.261568</x:v>
      </x:c>
      <x:c r="Q46" s="44" t="n">
        <x:v>44.187728</x:v>
      </x:c>
      <x:c r="R46" s="29" t="str">
        <x:v>S8a</x:v>
      </x:c>
      <x:c r="S46" s="29" t="n">
        <x:v>30</x:v>
      </x:c>
      <x:c r="T46" s="29" t="n">
        <x:v>80</x:v>
      </x:c>
    </x:row>
    <x:row r="47">
      <x:c r="A47" s="29" t="n">
        <x:v>46</x:v>
      </x:c>
      <x:c r="B47" s="29" t="str">
        <x:v>Tm</x:v>
      </x:c>
      <x:c r="C47" s="29" t="str">
        <x:v>P2-APEI</x:v>
      </x:c>
      <x:c r="D47" s="29" t="str">
        <x:v>Phosphorylated</x:v>
      </x:c>
      <x:c r="E47" s="29" t="str">
        <x:v>Single</x:v>
      </x:c>
      <x:c r="F47" s="29" t="n">
        <x:v>2</x:v>
      </x:c>
      <x:c r="G47" s="29" t="str">
        <x:v>Uptake kinetics</x:v>
      </x:c>
      <x:c r="H47" s="40" t="n">
        <x:v>5</x:v>
      </x:c>
      <x:c r="I47" s="42" t="n">
        <x:v>40</x:v>
      </x:c>
      <x:c r="J47" s="44" t="n">
        <x:v>50</x:v>
      </x:c>
      <x:c r="K47" s="40" t="n">
        <x:v>0.295973</x:v>
      </x:c>
      <x:c r="L47" s="40" t="n">
        <x:v>0.230581</x:v>
      </x:c>
      <x:c r="M47" s="40" t="n">
        <x:v>0.779061</x:v>
      </x:c>
      <x:c r="N47" s="40" t="n">
        <x:v>0.25</x:v>
      </x:c>
      <x:c r="O47" s="46" t="n">
        <x:v>22</x:v>
      </x:c>
      <x:c r="P47" s="40" t="n">
        <x:v>0.261568</x:v>
      </x:c>
      <x:c r="Q47" s="44" t="n">
        <x:v>44.18773</x:v>
      </x:c>
      <x:c r="R47" s="29" t="str">
        <x:v>S8a</x:v>
      </x:c>
      <x:c r="S47" s="29" t="n">
        <x:v>30</x:v>
      </x:c>
      <x:c r="T47" s="29" t="n">
        <x:v>81</x:v>
      </x:c>
    </x:row>
    <x:row r="48">
      <x:c r="A48" s="29" t="n">
        <x:v>47</x:v>
      </x:c>
      <x:c r="B48" s="29" t="str">
        <x:v>Tm</x:v>
      </x:c>
      <x:c r="C48" s="29" t="str">
        <x:v>P2-APEI</x:v>
      </x:c>
      <x:c r="D48" s="29" t="str">
        <x:v>Phosphorylated</x:v>
      </x:c>
      <x:c r="E48" s="29" t="str">
        <x:v>Single</x:v>
      </x:c>
      <x:c r="F48" s="29" t="n">
        <x:v>2</x:v>
      </x:c>
      <x:c r="G48" s="29" t="str">
        <x:v>Uptake kinetics</x:v>
      </x:c>
      <x:c r="H48" s="40" t="n">
        <x:v>5</x:v>
      </x:c>
      <x:c r="I48" s="42" t="n">
        <x:v>50</x:v>
      </x:c>
      <x:c r="J48" s="44" t="n">
        <x:v>50</x:v>
      </x:c>
      <x:c r="K48" s="40" t="n">
        <x:v>0.295973</x:v>
      </x:c>
      <x:c r="L48" s="40" t="n">
        <x:v>0.230581</x:v>
      </x:c>
      <x:c r="M48" s="40" t="n">
        <x:v>0.779061</x:v>
      </x:c>
      <x:c r="N48" s="40" t="n">
        <x:v>0.25</x:v>
      </x:c>
      <x:c r="O48" s="46" t="n">
        <x:v>22</x:v>
      </x:c>
      <x:c r="P48" s="40" t="n">
        <x:v>0.261568</x:v>
      </x:c>
      <x:c r="Q48" s="44" t="n">
        <x:v>44.187732</x:v>
      </x:c>
      <x:c r="R48" s="29" t="str">
        <x:v>S8a</x:v>
      </x:c>
      <x:c r="S48" s="29" t="n">
        <x:v>30</x:v>
      </x:c>
      <x:c r="T48" s="29" t="n">
        <x:v>82</x:v>
      </x:c>
    </x:row>
    <x:row r="49">
      <x:c r="A49" s="29" t="n">
        <x:v>48</x:v>
      </x:c>
      <x:c r="B49" s="29" t="str">
        <x:v>Tm</x:v>
      </x:c>
      <x:c r="C49" s="29" t="str">
        <x:v>P2-APEI</x:v>
      </x:c>
      <x:c r="D49" s="29" t="str">
        <x:v>Phosphorylated</x:v>
      </x:c>
      <x:c r="E49" s="29" t="str">
        <x:v>Single</x:v>
      </x:c>
      <x:c r="F49" s="29" t="n">
        <x:v>2</x:v>
      </x:c>
      <x:c r="G49" s="29" t="str">
        <x:v>Uptake kinetics</x:v>
      </x:c>
      <x:c r="H49" s="40" t="n">
        <x:v>5</x:v>
      </x:c>
      <x:c r="I49" s="42" t="n">
        <x:v>60</x:v>
      </x:c>
      <x:c r="J49" s="44" t="n">
        <x:v>50</x:v>
      </x:c>
      <x:c r="K49" s="40" t="n">
        <x:v>0.295973</x:v>
      </x:c>
      <x:c r="L49" s="40" t="n">
        <x:v>0.230581</x:v>
      </x:c>
      <x:c r="M49" s="40" t="n">
        <x:v>0.779061</x:v>
      </x:c>
      <x:c r="N49" s="40" t="n">
        <x:v>0.25</x:v>
      </x:c>
      <x:c r="O49" s="46" t="n">
        <x:v>22</x:v>
      </x:c>
      <x:c r="P49" s="40" t="n">
        <x:v>0.261568</x:v>
      </x:c>
      <x:c r="Q49" s="44" t="n">
        <x:v>44.187735</x:v>
      </x:c>
      <x:c r="R49" s="29" t="str">
        <x:v>S8a</x:v>
      </x:c>
      <x:c r="S49" s="29" t="n">
        <x:v>30</x:v>
      </x:c>
      <x:c r="T49" s="29" t="n">
        <x:v>83</x:v>
      </x:c>
    </x:row>
    <x:row r="50">
      <x:c r="A50" s="29" t="n">
        <x:v>49</x:v>
      </x:c>
      <x:c r="B50" s="29" t="str">
        <x:v>Pr</x:v>
      </x:c>
      <x:c r="C50" s="29" t="str">
        <x:v>P2-APEI</x:v>
      </x:c>
      <x:c r="D50" s="29" t="str">
        <x:v>Phosphorylated</x:v>
      </x:c>
      <x:c r="E50" s="29" t="str">
        <x:v>Binary</x:v>
      </x:c>
      <x:c r="F50" s="29" t="n">
        <x:v>1</x:v>
      </x:c>
      <x:c r="G50" s="29" t="str">
        <x:v>Uptake kinetics</x:v>
      </x:c>
      <x:c r="H50" s="40" t="n">
        <x:v>5</x:v>
      </x:c>
      <x:c r="I50" s="42" t="n">
        <x:v>0</x:v>
      </x:c>
      <x:c r="J50" s="44" t="n">
        <x:v>50</x:v>
      </x:c>
      <x:c r="K50" s="40" t="n">
        <x:v>0.354842</x:v>
      </x:c>
      <x:c r="L50" s="40" t="n">
        <x:v>0.354842</x:v>
      </x:c>
      <x:c r="M50" s="40" t="n">
        <x:v>1</x:v>
      </x:c>
      <x:c r="N50" s="40" t="n">
        <x:v>0.25</x:v>
      </x:c>
      <x:c r="O50" s="46" t="n">
        <x:v>22</x:v>
      </x:c>
      <x:c r="P50" s="40" t="n">
        <x:v>0</x:v>
      </x:c>
      <x:c r="Q50" s="44" t="n">
        <x:v>0</x:v>
      </x:c>
      <x:c r="R50" s="29" t="str">
        <x:v>S8b</x:v>
      </x:c>
      <x:c r="S50" s="29" t="n">
        <x:v>31</x:v>
      </x:c>
      <x:c r="T50" s="29" t="n">
        <x:v>34</x:v>
      </x:c>
    </x:row>
    <x:row r="51">
      <x:c r="A51" s="29" t="n">
        <x:v>50</x:v>
      </x:c>
      <x:c r="B51" s="29" t="str">
        <x:v>Pr</x:v>
      </x:c>
      <x:c r="C51" s="29" t="str">
        <x:v>P2-APEI</x:v>
      </x:c>
      <x:c r="D51" s="29" t="str">
        <x:v>Phosphorylated</x:v>
      </x:c>
      <x:c r="E51" s="29" t="str">
        <x:v>Binary</x:v>
      </x:c>
      <x:c r="F51" s="29" t="n">
        <x:v>1</x:v>
      </x:c>
      <x:c r="G51" s="29" t="str">
        <x:v>Uptake kinetics</x:v>
      </x:c>
      <x:c r="H51" s="40" t="n">
        <x:v>5</x:v>
      </x:c>
      <x:c r="I51" s="42" t="n">
        <x:v>2</x:v>
      </x:c>
      <x:c r="J51" s="44" t="n">
        <x:v>50</x:v>
      </x:c>
      <x:c r="K51" s="40" t="n">
        <x:v>0.354842</x:v>
      </x:c>
      <x:c r="L51" s="40" t="n">
        <x:v>0.348259</x:v>
      </x:c>
      <x:c r="M51" s="40" t="n">
        <x:v>0.981446</x:v>
      </x:c>
      <x:c r="N51" s="40" t="n">
        <x:v>0.25</x:v>
      </x:c>
      <x:c r="O51" s="46" t="n">
        <x:v>22</x:v>
      </x:c>
      <x:c r="P51" s="40" t="n">
        <x:v>0.026335</x:v>
      </x:c>
      <x:c r="Q51" s="44" t="n">
        <x:v>3.710793</x:v>
      </x:c>
      <x:c r="R51" s="29" t="str">
        <x:v>S8b</x:v>
      </x:c>
      <x:c r="S51" s="29" t="n">
        <x:v>31</x:v>
      </x:c>
      <x:c r="T51" s="29" t="n">
        <x:v>35</x:v>
      </x:c>
    </x:row>
    <x:row r="52">
      <x:c r="A52" s="29" t="n">
        <x:v>51</x:v>
      </x:c>
      <x:c r="B52" s="29" t="str">
        <x:v>Pr</x:v>
      </x:c>
      <x:c r="C52" s="29" t="str">
        <x:v>P2-APEI</x:v>
      </x:c>
      <x:c r="D52" s="29" t="str">
        <x:v>Phosphorylated</x:v>
      </x:c>
      <x:c r="E52" s="29" t="str">
        <x:v>Binary</x:v>
      </x:c>
      <x:c r="F52" s="29" t="n">
        <x:v>1</x:v>
      </x:c>
      <x:c r="G52" s="29" t="str">
        <x:v>Uptake kinetics</x:v>
      </x:c>
      <x:c r="H52" s="40" t="n">
        <x:v>5</x:v>
      </x:c>
      <x:c r="I52" s="42" t="n">
        <x:v>5</x:v>
      </x:c>
      <x:c r="J52" s="44" t="n">
        <x:v>50</x:v>
      </x:c>
      <x:c r="K52" s="40" t="n">
        <x:v>0.354842</x:v>
      </x:c>
      <x:c r="L52" s="40" t="n">
        <x:v>0.335272</x:v>
      </x:c>
      <x:c r="M52" s="40" t="n">
        <x:v>0.944848</x:v>
      </x:c>
      <x:c r="N52" s="40" t="n">
        <x:v>0.25</x:v>
      </x:c>
      <x:c r="O52" s="46" t="n">
        <x:v>22</x:v>
      </x:c>
      <x:c r="P52" s="40" t="n">
        <x:v>0.078281</x:v>
      </x:c>
      <x:c r="Q52" s="44" t="n">
        <x:v>11.03038</x:v>
      </x:c>
      <x:c r="R52" s="29" t="str">
        <x:v>S8b</x:v>
      </x:c>
      <x:c r="S52" s="29" t="n">
        <x:v>31</x:v>
      </x:c>
      <x:c r="T52" s="29" t="n">
        <x:v>36</x:v>
      </x:c>
    </x:row>
    <x:row r="53">
      <x:c r="A53" s="29" t="n">
        <x:v>52</x:v>
      </x:c>
      <x:c r="B53" s="29" t="str">
        <x:v>Pr</x:v>
      </x:c>
      <x:c r="C53" s="29" t="str">
        <x:v>P2-APEI</x:v>
      </x:c>
      <x:c r="D53" s="29" t="str">
        <x:v>Phosphorylated</x:v>
      </x:c>
      <x:c r="E53" s="29" t="str">
        <x:v>Binary</x:v>
      </x:c>
      <x:c r="F53" s="29" t="n">
        <x:v>1</x:v>
      </x:c>
      <x:c r="G53" s="29" t="str">
        <x:v>Uptake kinetics</x:v>
      </x:c>
      <x:c r="H53" s="40" t="n">
        <x:v>5</x:v>
      </x:c>
      <x:c r="I53" s="42" t="n">
        <x:v>10</x:v>
      </x:c>
      <x:c r="J53" s="44" t="n">
        <x:v>50</x:v>
      </x:c>
      <x:c r="K53" s="40" t="n">
        <x:v>0.354842</x:v>
      </x:c>
      <x:c r="L53" s="40" t="n">
        <x:v>0.326127</x:v>
      </x:c>
      <x:c r="M53" s="40" t="n">
        <x:v>0.919075</x:v>
      </x:c>
      <x:c r="N53" s="40" t="n">
        <x:v>0.25</x:v>
      </x:c>
      <x:c r="O53" s="46" t="n">
        <x:v>22</x:v>
      </x:c>
      <x:c r="P53" s="40" t="n">
        <x:v>0.114863</x:v>
      </x:c>
      <x:c r="Q53" s="44" t="n">
        <x:v>16.185018</x:v>
      </x:c>
      <x:c r="R53" s="29" t="str">
        <x:v>S8b</x:v>
      </x:c>
      <x:c r="S53" s="29" t="n">
        <x:v>31</x:v>
      </x:c>
      <x:c r="T53" s="29" t="n">
        <x:v>37</x:v>
      </x:c>
    </x:row>
    <x:row r="54">
      <x:c r="A54" s="29" t="n">
        <x:v>53</x:v>
      </x:c>
      <x:c r="B54" s="29" t="str">
        <x:v>Pr</x:v>
      </x:c>
      <x:c r="C54" s="29" t="str">
        <x:v>P2-APEI</x:v>
      </x:c>
      <x:c r="D54" s="29" t="str">
        <x:v>Phosphorylated</x:v>
      </x:c>
      <x:c r="E54" s="29" t="str">
        <x:v>Binary</x:v>
      </x:c>
      <x:c r="F54" s="29" t="n">
        <x:v>1</x:v>
      </x:c>
      <x:c r="G54" s="29" t="str">
        <x:v>Uptake kinetics</x:v>
      </x:c>
      <x:c r="H54" s="40" t="n">
        <x:v>5</x:v>
      </x:c>
      <x:c r="I54" s="42" t="n">
        <x:v>15</x:v>
      </x:c>
      <x:c r="J54" s="44" t="n">
        <x:v>50</x:v>
      </x:c>
      <x:c r="K54" s="40" t="n">
        <x:v>0.354842</x:v>
      </x:c>
      <x:c r="L54" s="40" t="n">
        <x:v>0.313505</x:v>
      </x:c>
      <x:c r="M54" s="40" t="n">
        <x:v>0.883505</x:v>
      </x:c>
      <x:c r="N54" s="40" t="n">
        <x:v>0.25</x:v>
      </x:c>
      <x:c r="O54" s="46" t="n">
        <x:v>22</x:v>
      </x:c>
      <x:c r="P54" s="40" t="n">
        <x:v>0.165349</x:v>
      </x:c>
      <x:c r="Q54" s="44" t="n">
        <x:v>23.298965</x:v>
      </x:c>
      <x:c r="R54" s="29" t="str">
        <x:v>S8b</x:v>
      </x:c>
      <x:c r="S54" s="29" t="n">
        <x:v>31</x:v>
      </x:c>
      <x:c r="T54" s="29" t="n">
        <x:v>38</x:v>
      </x:c>
    </x:row>
    <x:row r="55">
      <x:c r="A55" s="29" t="n">
        <x:v>54</x:v>
      </x:c>
      <x:c r="B55" s="29" t="str">
        <x:v>Pr</x:v>
      </x:c>
      <x:c r="C55" s="29" t="str">
        <x:v>P2-APEI</x:v>
      </x:c>
      <x:c r="D55" s="29" t="str">
        <x:v>Phosphorylated</x:v>
      </x:c>
      <x:c r="E55" s="29" t="str">
        <x:v>Binary</x:v>
      </x:c>
      <x:c r="F55" s="29" t="n">
        <x:v>1</x:v>
      </x:c>
      <x:c r="G55" s="29" t="str">
        <x:v>Uptake kinetics</x:v>
      </x:c>
      <x:c r="H55" s="40" t="n">
        <x:v>5</x:v>
      </x:c>
      <x:c r="I55" s="42" t="n">
        <x:v>20</x:v>
      </x:c>
      <x:c r="J55" s="44" t="n">
        <x:v>50</x:v>
      </x:c>
      <x:c r="K55" s="40" t="n">
        <x:v>0.354842</x:v>
      </x:c>
      <x:c r="L55" s="40" t="n">
        <x:v>0.307103</x:v>
      </x:c>
      <x:c r="M55" s="40" t="n">
        <x:v>0.865464</x:v>
      </x:c>
      <x:c r="N55" s="40" t="n">
        <x:v>0.25</x:v>
      </x:c>
      <x:c r="O55" s="46" t="n">
        <x:v>22</x:v>
      </x:c>
      <x:c r="P55" s="40" t="n">
        <x:v>0.190956</x:v>
      </x:c>
      <x:c r="Q55" s="44" t="n">
        <x:v>26.907214</x:v>
      </x:c>
      <x:c r="R55" s="29" t="str">
        <x:v>S8b</x:v>
      </x:c>
      <x:c r="S55" s="29" t="n">
        <x:v>31</x:v>
      </x:c>
      <x:c r="T55" s="29" t="n">
        <x:v>39</x:v>
      </x:c>
    </x:row>
    <x:row r="56">
      <x:c r="A56" s="29" t="n">
        <x:v>55</x:v>
      </x:c>
      <x:c r="B56" s="29" t="str">
        <x:v>Pr</x:v>
      </x:c>
      <x:c r="C56" s="29" t="str">
        <x:v>P2-APEI</x:v>
      </x:c>
      <x:c r="D56" s="29" t="str">
        <x:v>Phosphorylated</x:v>
      </x:c>
      <x:c r="E56" s="29" t="str">
        <x:v>Binary</x:v>
      </x:c>
      <x:c r="F56" s="29" t="n">
        <x:v>1</x:v>
      </x:c>
      <x:c r="G56" s="29" t="str">
        <x:v>Uptake kinetics</x:v>
      </x:c>
      <x:c r="H56" s="40" t="n">
        <x:v>5</x:v>
      </x:c>
      <x:c r="I56" s="42" t="n">
        <x:v>25</x:v>
      </x:c>
      <x:c r="J56" s="44" t="n">
        <x:v>50</x:v>
      </x:c>
      <x:c r="K56" s="40" t="n">
        <x:v>0.354842</x:v>
      </x:c>
      <x:c r="L56" s="40" t="n">
        <x:v>0.306737</x:v>
      </x:c>
      <x:c r="M56" s="40" t="n">
        <x:v>0.864433</x:v>
      </x:c>
      <x:c r="N56" s="40" t="n">
        <x:v>0.25</x:v>
      </x:c>
      <x:c r="O56" s="46" t="n">
        <x:v>22</x:v>
      </x:c>
      <x:c r="P56" s="40" t="n">
        <x:v>0.19242</x:v>
      </x:c>
      <x:c r="Q56" s="44" t="n">
        <x:v>27.113401</x:v>
      </x:c>
      <x:c r="R56" s="29" t="str">
        <x:v>S8b</x:v>
      </x:c>
      <x:c r="S56" s="29" t="n">
        <x:v>31</x:v>
      </x:c>
      <x:c r="T56" s="29" t="n">
        <x:v>40</x:v>
      </x:c>
    </x:row>
    <x:row r="57">
      <x:c r="A57" s="29" t="n">
        <x:v>56</x:v>
      </x:c>
      <x:c r="B57" s="29" t="str">
        <x:v>Pr</x:v>
      </x:c>
      <x:c r="C57" s="29" t="str">
        <x:v>P2-APEI</x:v>
      </x:c>
      <x:c r="D57" s="29" t="str">
        <x:v>Phosphorylated</x:v>
      </x:c>
      <x:c r="E57" s="29" t="str">
        <x:v>Binary</x:v>
      </x:c>
      <x:c r="F57" s="29" t="n">
        <x:v>1</x:v>
      </x:c>
      <x:c r="G57" s="29" t="str">
        <x:v>Uptake kinetics</x:v>
      </x:c>
      <x:c r="H57" s="40" t="n">
        <x:v>5</x:v>
      </x:c>
      <x:c r="I57" s="42" t="n">
        <x:v>30</x:v>
      </x:c>
      <x:c r="J57" s="44" t="n">
        <x:v>50</x:v>
      </x:c>
      <x:c r="K57" s="40" t="n">
        <x:v>0.354842</x:v>
      </x:c>
      <x:c r="L57" s="40" t="n">
        <x:v>0.306372</x:v>
      </x:c>
      <x:c r="M57" s="40" t="n">
        <x:v>0.863402</x:v>
      </x:c>
      <x:c r="N57" s="40" t="n">
        <x:v>0.25</x:v>
      </x:c>
      <x:c r="O57" s="46" t="n">
        <x:v>22</x:v>
      </x:c>
      <x:c r="P57" s="40" t="n">
        <x:v>0.193883</x:v>
      </x:c>
      <x:c r="Q57" s="44" t="n">
        <x:v>27.319585</x:v>
      </x:c>
      <x:c r="R57" s="29" t="str">
        <x:v>S8b</x:v>
      </x:c>
      <x:c r="S57" s="29" t="n">
        <x:v>31</x:v>
      </x:c>
      <x:c r="T57" s="29" t="n">
        <x:v>41</x:v>
      </x:c>
    </x:row>
    <x:row r="58">
      <x:c r="A58" s="29" t="n">
        <x:v>57</x:v>
      </x:c>
      <x:c r="B58" s="29" t="str">
        <x:v>Pr</x:v>
      </x:c>
      <x:c r="C58" s="29" t="str">
        <x:v>P2-APEI</x:v>
      </x:c>
      <x:c r="D58" s="29" t="str">
        <x:v>Phosphorylated</x:v>
      </x:c>
      <x:c r="E58" s="29" t="str">
        <x:v>Binary</x:v>
      </x:c>
      <x:c r="F58" s="29" t="n">
        <x:v>1</x:v>
      </x:c>
      <x:c r="G58" s="29" t="str">
        <x:v>Uptake kinetics</x:v>
      </x:c>
      <x:c r="H58" s="40" t="n">
        <x:v>5</x:v>
      </x:c>
      <x:c r="I58" s="42" t="n">
        <x:v>35</x:v>
      </x:c>
      <x:c r="J58" s="44" t="n">
        <x:v>50</x:v>
      </x:c>
      <x:c r="K58" s="40" t="n">
        <x:v>0.354842</x:v>
      </x:c>
      <x:c r="L58" s="40" t="n">
        <x:v>0.306554</x:v>
      </x:c>
      <x:c r="M58" s="40" t="n">
        <x:v>0.863918</x:v>
      </x:c>
      <x:c r="N58" s="40" t="n">
        <x:v>0.25</x:v>
      </x:c>
      <x:c r="O58" s="46" t="n">
        <x:v>22</x:v>
      </x:c>
      <x:c r="P58" s="40" t="n">
        <x:v>0.193151</x:v>
      </x:c>
      <x:c r="Q58" s="44" t="n">
        <x:v>27.216494</x:v>
      </x:c>
      <x:c r="R58" s="29" t="str">
        <x:v>S8b</x:v>
      </x:c>
      <x:c r="S58" s="29" t="n">
        <x:v>31</x:v>
      </x:c>
      <x:c r="T58" s="29" t="n">
        <x:v>42</x:v>
      </x:c>
    </x:row>
    <x:row r="59">
      <x:c r="A59" s="29" t="n">
        <x:v>58</x:v>
      </x:c>
      <x:c r="B59" s="29" t="str">
        <x:v>Pr</x:v>
      </x:c>
      <x:c r="C59" s="29" t="str">
        <x:v>P2-APEI</x:v>
      </x:c>
      <x:c r="D59" s="29" t="str">
        <x:v>Phosphorylated</x:v>
      </x:c>
      <x:c r="E59" s="29" t="str">
        <x:v>Binary</x:v>
      </x:c>
      <x:c r="F59" s="29" t="n">
        <x:v>1</x:v>
      </x:c>
      <x:c r="G59" s="29" t="str">
        <x:v>Uptake kinetics</x:v>
      </x:c>
      <x:c r="H59" s="40" t="n">
        <x:v>5</x:v>
      </x:c>
      <x:c r="I59" s="42" t="n">
        <x:v>40</x:v>
      </x:c>
      <x:c r="J59" s="44" t="n">
        <x:v>50</x:v>
      </x:c>
      <x:c r="K59" s="40" t="n">
        <x:v>0.354842</x:v>
      </x:c>
      <x:c r="L59" s="40" t="n">
        <x:v>0.306372</x:v>
      </x:c>
      <x:c r="M59" s="40" t="n">
        <x:v>0.863402</x:v>
      </x:c>
      <x:c r="N59" s="40" t="n">
        <x:v>0.25</x:v>
      </x:c>
      <x:c r="O59" s="46" t="n">
        <x:v>22</x:v>
      </x:c>
      <x:c r="P59" s="40" t="n">
        <x:v>0.193883</x:v>
      </x:c>
      <x:c r="Q59" s="44" t="n">
        <x:v>27.319587</x:v>
      </x:c>
      <x:c r="R59" s="29" t="str">
        <x:v>S8b</x:v>
      </x:c>
      <x:c r="S59" s="29" t="n">
        <x:v>31</x:v>
      </x:c>
      <x:c r="T59" s="29" t="n">
        <x:v>43</x:v>
      </x:c>
    </x:row>
    <x:row r="60">
      <x:c r="A60" s="29" t="n">
        <x:v>59</x:v>
      </x:c>
      <x:c r="B60" s="29" t="str">
        <x:v>Pr</x:v>
      </x:c>
      <x:c r="C60" s="29" t="str">
        <x:v>P2-APEI</x:v>
      </x:c>
      <x:c r="D60" s="29" t="str">
        <x:v>Phosphorylated</x:v>
      </x:c>
      <x:c r="E60" s="29" t="str">
        <x:v>Binary</x:v>
      </x:c>
      <x:c r="F60" s="29" t="n">
        <x:v>1</x:v>
      </x:c>
      <x:c r="G60" s="29" t="str">
        <x:v>Uptake kinetics</x:v>
      </x:c>
      <x:c r="H60" s="40" t="n">
        <x:v>5</x:v>
      </x:c>
      <x:c r="I60" s="42" t="n">
        <x:v>50</x:v>
      </x:c>
      <x:c r="J60" s="44" t="n">
        <x:v>50</x:v>
      </x:c>
      <x:c r="K60" s="40" t="n">
        <x:v>0.354842</x:v>
      </x:c>
      <x:c r="L60" s="40" t="n">
        <x:v>0.306372</x:v>
      </x:c>
      <x:c r="M60" s="40" t="n">
        <x:v>0.863402</x:v>
      </x:c>
      <x:c r="N60" s="40" t="n">
        <x:v>0.25</x:v>
      </x:c>
      <x:c r="O60" s="46" t="n">
        <x:v>22</x:v>
      </x:c>
      <x:c r="P60" s="40" t="n">
        <x:v>0.193883</x:v>
      </x:c>
      <x:c r="Q60" s="44" t="n">
        <x:v>27.319587</x:v>
      </x:c>
      <x:c r="R60" s="29" t="str">
        <x:v>S8b</x:v>
      </x:c>
      <x:c r="S60" s="29" t="n">
        <x:v>31</x:v>
      </x:c>
      <x:c r="T60" s="29" t="n">
        <x:v>44</x:v>
      </x:c>
    </x:row>
    <x:row r="61">
      <x:c r="A61" s="29" t="n">
        <x:v>60</x:v>
      </x:c>
      <x:c r="B61" s="29" t="str">
        <x:v>Pr</x:v>
      </x:c>
      <x:c r="C61" s="29" t="str">
        <x:v>P2-APEI</x:v>
      </x:c>
      <x:c r="D61" s="29" t="str">
        <x:v>Phosphorylated</x:v>
      </x:c>
      <x:c r="E61" s="29" t="str">
        <x:v>Binary</x:v>
      </x:c>
      <x:c r="F61" s="29" t="n">
        <x:v>1</x:v>
      </x:c>
      <x:c r="G61" s="29" t="str">
        <x:v>Uptake kinetics</x:v>
      </x:c>
      <x:c r="H61" s="40" t="n">
        <x:v>5</x:v>
      </x:c>
      <x:c r="I61" s="42" t="n">
        <x:v>60</x:v>
      </x:c>
      <x:c r="J61" s="44" t="n">
        <x:v>50</x:v>
      </x:c>
      <x:c r="K61" s="40" t="n">
        <x:v>0.354842</x:v>
      </x:c>
      <x:c r="L61" s="40" t="n">
        <x:v>0.306372</x:v>
      </x:c>
      <x:c r="M61" s="40" t="n">
        <x:v>0.863402</x:v>
      </x:c>
      <x:c r="N61" s="40" t="n">
        <x:v>0.25</x:v>
      </x:c>
      <x:c r="O61" s="46" t="n">
        <x:v>22</x:v>
      </x:c>
      <x:c r="P61" s="40" t="n">
        <x:v>0.193883</x:v>
      </x:c>
      <x:c r="Q61" s="44" t="n">
        <x:v>27.319587</x:v>
      </x:c>
      <x:c r="R61" s="29" t="str">
        <x:v>S8b</x:v>
      </x:c>
      <x:c r="S61" s="29" t="n">
        <x:v>31</x:v>
      </x:c>
      <x:c r="T61" s="29" t="n">
        <x:v>45</x:v>
      </x:c>
    </x:row>
    <x:row r="62">
      <x:c r="A62" s="29" t="n">
        <x:v>61</x:v>
      </x:c>
      <x:c r="B62" s="29" t="str">
        <x:v>Tm</x:v>
      </x:c>
      <x:c r="C62" s="29" t="str">
        <x:v>P2-APEI</x:v>
      </x:c>
      <x:c r="D62" s="29" t="str">
        <x:v>Phosphorylated</x:v>
      </x:c>
      <x:c r="E62" s="29" t="str">
        <x:v>Binary</x:v>
      </x:c>
      <x:c r="F62" s="29" t="n">
        <x:v>1</x:v>
      </x:c>
      <x:c r="G62" s="29" t="str">
        <x:v>Uptake kinetics</x:v>
      </x:c>
      <x:c r="H62" s="40" t="n">
        <x:v>5</x:v>
      </x:c>
      <x:c r="I62" s="42" t="n">
        <x:v>0</x:v>
      </x:c>
      <x:c r="J62" s="44" t="n">
        <x:v>50</x:v>
      </x:c>
      <x:c r="K62" s="40" t="n">
        <x:v>0.295973</x:v>
      </x:c>
      <x:c r="L62" s="40" t="n">
        <x:v>0.295973</x:v>
      </x:c>
      <x:c r="M62" s="40" t="n">
        <x:v>1</x:v>
      </x:c>
      <x:c r="N62" s="40" t="n">
        <x:v>0.25</x:v>
      </x:c>
      <x:c r="O62" s="46" t="n">
        <x:v>22</x:v>
      </x:c>
      <x:c r="P62" s="40" t="n">
        <x:v>0</x:v>
      </x:c>
      <x:c r="Q62" s="44" t="n">
        <x:v>0</x:v>
      </x:c>
      <x:c r="R62" s="29" t="str">
        <x:v>S8b</x:v>
      </x:c>
      <x:c r="S62" s="29" t="n">
        <x:v>31</x:v>
      </x:c>
      <x:c r="T62" s="29" t="n">
        <x:v>46</x:v>
      </x:c>
    </x:row>
    <x:row r="63">
      <x:c r="A63" s="29" t="n">
        <x:v>62</x:v>
      </x:c>
      <x:c r="B63" s="29" t="str">
        <x:v>Tm</x:v>
      </x:c>
      <x:c r="C63" s="29" t="str">
        <x:v>P2-APEI</x:v>
      </x:c>
      <x:c r="D63" s="29" t="str">
        <x:v>Phosphorylated</x:v>
      </x:c>
      <x:c r="E63" s="29" t="str">
        <x:v>Binary</x:v>
      </x:c>
      <x:c r="F63" s="29" t="n">
        <x:v>1</x:v>
      </x:c>
      <x:c r="G63" s="29" t="str">
        <x:v>Uptake kinetics</x:v>
      </x:c>
      <x:c r="H63" s="40" t="n">
        <x:v>5</x:v>
      </x:c>
      <x:c r="I63" s="42" t="n">
        <x:v>2</x:v>
      </x:c>
      <x:c r="J63" s="44" t="n">
        <x:v>50</x:v>
      </x:c>
      <x:c r="K63" s="40" t="n">
        <x:v>0.295973</x:v>
      </x:c>
      <x:c r="L63" s="40" t="n">
        <x:v>0.286515</x:v>
      </x:c>
      <x:c r="M63" s="40" t="n">
        <x:v>0.968044</x:v>
      </x:c>
      <x:c r="N63" s="40" t="n">
        <x:v>0.25</x:v>
      </x:c>
      <x:c r="O63" s="46" t="n">
        <x:v>22</x:v>
      </x:c>
      <x:c r="P63" s="40" t="n">
        <x:v>0.037833</x:v>
      </x:c>
      <x:c r="Q63" s="44" t="n">
        <x:v>6.391205</x:v>
      </x:c>
      <x:c r="R63" s="29" t="str">
        <x:v>S8b</x:v>
      </x:c>
      <x:c r="S63" s="29" t="n">
        <x:v>31</x:v>
      </x:c>
      <x:c r="T63" s="29" t="n">
        <x:v>47</x:v>
      </x:c>
    </x:row>
    <x:row r="64">
      <x:c r="A64" s="29" t="n">
        <x:v>63</x:v>
      </x:c>
      <x:c r="B64" s="29" t="str">
        <x:v>Tm</x:v>
      </x:c>
      <x:c r="C64" s="29" t="str">
        <x:v>P2-APEI</x:v>
      </x:c>
      <x:c r="D64" s="29" t="str">
        <x:v>Phosphorylated</x:v>
      </x:c>
      <x:c r="E64" s="29" t="str">
        <x:v>Binary</x:v>
      </x:c>
      <x:c r="F64" s="29" t="n">
        <x:v>1</x:v>
      </x:c>
      <x:c r="G64" s="29" t="str">
        <x:v>Uptake kinetics</x:v>
      </x:c>
      <x:c r="H64" s="40" t="n">
        <x:v>5</x:v>
      </x:c>
      <x:c r="I64" s="42" t="n">
        <x:v>5</x:v>
      </x:c>
      <x:c r="J64" s="44" t="n">
        <x:v>50</x:v>
      </x:c>
      <x:c r="K64" s="40" t="n">
        <x:v>0.295973</x:v>
      </x:c>
      <x:c r="L64" s="40" t="n">
        <x:v>0.277361</x:v>
      </x:c>
      <x:c r="M64" s="40" t="n">
        <x:v>0.937116</x:v>
      </x:c>
      <x:c r="N64" s="40" t="n">
        <x:v>0.25</x:v>
      </x:c>
      <x:c r="O64" s="46" t="n">
        <x:v>22</x:v>
      </x:c>
      <x:c r="P64" s="40" t="n">
        <x:v>0.074448</x:v>
      </x:c>
      <x:c r="Q64" s="44" t="n">
        <x:v>12.576771</x:v>
      </x:c>
      <x:c r="R64" s="29" t="str">
        <x:v>S8b</x:v>
      </x:c>
      <x:c r="S64" s="29" t="n">
        <x:v>31</x:v>
      </x:c>
      <x:c r="T64" s="29" t="n">
        <x:v>48</x:v>
      </x:c>
    </x:row>
    <x:row r="65">
      <x:c r="A65" s="29" t="n">
        <x:v>64</x:v>
      </x:c>
      <x:c r="B65" s="29" t="str">
        <x:v>Tm</x:v>
      </x:c>
      <x:c r="C65" s="29" t="str">
        <x:v>P2-APEI</x:v>
      </x:c>
      <x:c r="D65" s="29" t="str">
        <x:v>Phosphorylated</x:v>
      </x:c>
      <x:c r="E65" s="29" t="str">
        <x:v>Binary</x:v>
      </x:c>
      <x:c r="F65" s="29" t="n">
        <x:v>1</x:v>
      </x:c>
      <x:c r="G65" s="29" t="str">
        <x:v>Uptake kinetics</x:v>
      </x:c>
      <x:c r="H65" s="40" t="n">
        <x:v>5</x:v>
      </x:c>
      <x:c r="I65" s="42" t="n">
        <x:v>10</x:v>
      </x:c>
      <x:c r="J65" s="44" t="n">
        <x:v>50</x:v>
      </x:c>
      <x:c r="K65" s="40" t="n">
        <x:v>0.295973</x:v>
      </x:c>
      <x:c r="L65" s="40" t="n">
        <x:v>0.272632</x:v>
      </x:c>
      <x:c r="M65" s="40" t="n">
        <x:v>0.921137</x:v>
      </x:c>
      <x:c r="N65" s="40" t="n">
        <x:v>0.25</x:v>
      </x:c>
      <x:c r="O65" s="46" t="n">
        <x:v>22</x:v>
      </x:c>
      <x:c r="P65" s="40" t="n">
        <x:v>0.093366</x:v>
      </x:c>
      <x:c r="Q65" s="44" t="n">
        <x:v>15.772646</x:v>
      </x:c>
      <x:c r="R65" s="29" t="str">
        <x:v>S8b</x:v>
      </x:c>
      <x:c r="S65" s="29" t="n">
        <x:v>31</x:v>
      </x:c>
      <x:c r="T65" s="29" t="n">
        <x:v>49</x:v>
      </x:c>
    </x:row>
    <x:row r="66">
      <x:c r="A66" s="29" t="n">
        <x:v>65</x:v>
      </x:c>
      <x:c r="B66" s="29" t="str">
        <x:v>Tm</x:v>
      </x:c>
      <x:c r="C66" s="29" t="str">
        <x:v>P2-APEI</x:v>
      </x:c>
      <x:c r="D66" s="29" t="str">
        <x:v>Phosphorylated</x:v>
      </x:c>
      <x:c r="E66" s="29" t="str">
        <x:v>Binary</x:v>
      </x:c>
      <x:c r="F66" s="29" t="n">
        <x:v>1</x:v>
      </x:c>
      <x:c r="G66" s="29" t="str">
        <x:v>Uptake kinetics</x:v>
      </x:c>
      <x:c r="H66" s="40" t="n">
        <x:v>5</x:v>
      </x:c>
      <x:c r="I66" s="42" t="n">
        <x:v>15</x:v>
      </x:c>
      <x:c r="J66" s="44" t="n">
        <x:v>50</x:v>
      </x:c>
      <x:c r="K66" s="40" t="n">
        <x:v>0.295973</x:v>
      </x:c>
      <x:c r="L66" s="40" t="n">
        <x:v>0.266987</x:v>
      </x:c>
      <x:c r="M66" s="40" t="n">
        <x:v>0.902065</x:v>
      </x:c>
      <x:c r="N66" s="40" t="n">
        <x:v>0.25</x:v>
      </x:c>
      <x:c r="O66" s="46" t="n">
        <x:v>22</x:v>
      </x:c>
      <x:c r="P66" s="40" t="n">
        <x:v>0.115945</x:v>
      </x:c>
      <x:c r="Q66" s="44" t="n">
        <x:v>19.587076</x:v>
      </x:c>
      <x:c r="R66" s="29" t="str">
        <x:v>S8b</x:v>
      </x:c>
      <x:c r="S66" s="29" t="n">
        <x:v>31</x:v>
      </x:c>
      <x:c r="T66" s="29" t="n">
        <x:v>50</x:v>
      </x:c>
    </x:row>
    <x:row r="67">
      <x:c r="A67" s="29" t="n">
        <x:v>66</x:v>
      </x:c>
      <x:c r="B67" s="29" t="str">
        <x:v>Tm</x:v>
      </x:c>
      <x:c r="C67" s="29" t="str">
        <x:v>P2-APEI</x:v>
      </x:c>
      <x:c r="D67" s="29" t="str">
        <x:v>Phosphorylated</x:v>
      </x:c>
      <x:c r="E67" s="29" t="str">
        <x:v>Binary</x:v>
      </x:c>
      <x:c r="F67" s="29" t="n">
        <x:v>1</x:v>
      </x:c>
      <x:c r="G67" s="29" t="str">
        <x:v>Uptake kinetics</x:v>
      </x:c>
      <x:c r="H67" s="40" t="n">
        <x:v>5</x:v>
      </x:c>
      <x:c r="I67" s="42" t="n">
        <x:v>20</x:v>
      </x:c>
      <x:c r="J67" s="44" t="n">
        <x:v>50</x:v>
      </x:c>
      <x:c r="K67" s="40" t="n">
        <x:v>0.295973</x:v>
      </x:c>
      <x:c r="L67" s="40" t="n">
        <x:v>0.261189</x:v>
      </x:c>
      <x:c r="M67" s="40" t="n">
        <x:v>0.882474</x:v>
      </x:c>
      <x:c r="N67" s="40" t="n">
        <x:v>0.25</x:v>
      </x:c>
      <x:c r="O67" s="46" t="n">
        <x:v>22</x:v>
      </x:c>
      <x:c r="P67" s="40" t="n">
        <x:v>0.139138</x:v>
      </x:c>
      <x:c r="Q67" s="44" t="n">
        <x:v>23.505152</x:v>
      </x:c>
      <x:c r="R67" s="29" t="str">
        <x:v>S8b</x:v>
      </x:c>
      <x:c r="S67" s="29" t="n">
        <x:v>31</x:v>
      </x:c>
      <x:c r="T67" s="29" t="n">
        <x:v>51</x:v>
      </x:c>
    </x:row>
    <x:row r="68">
      <x:c r="A68" s="29" t="n">
        <x:v>67</x:v>
      </x:c>
      <x:c r="B68" s="29" t="str">
        <x:v>Tm</x:v>
      </x:c>
      <x:c r="C68" s="29" t="str">
        <x:v>P2-APEI</x:v>
      </x:c>
      <x:c r="D68" s="29" t="str">
        <x:v>Phosphorylated</x:v>
      </x:c>
      <x:c r="E68" s="29" t="str">
        <x:v>Binary</x:v>
      </x:c>
      <x:c r="F68" s="29" t="n">
        <x:v>1</x:v>
      </x:c>
      <x:c r="G68" s="29" t="str">
        <x:v>Uptake kinetics</x:v>
      </x:c>
      <x:c r="H68" s="40" t="n">
        <x:v>5</x:v>
      </x:c>
      <x:c r="I68" s="42" t="n">
        <x:v>25</x:v>
      </x:c>
      <x:c r="J68" s="44" t="n">
        <x:v>50</x:v>
      </x:c>
      <x:c r="K68" s="40" t="n">
        <x:v>0.295973</x:v>
      </x:c>
      <x:c r="L68" s="40" t="n">
        <x:v>0.25768</x:v>
      </x:c>
      <x:c r="M68" s="40" t="n">
        <x:v>0.870619</x:v>
      </x:c>
      <x:c r="N68" s="40" t="n">
        <x:v>0.25</x:v>
      </x:c>
      <x:c r="O68" s="46" t="n">
        <x:v>22</x:v>
      </x:c>
      <x:c r="P68" s="40" t="n">
        <x:v>0.153174</x:v>
      </x:c>
      <x:c r="Q68" s="44" t="n">
        <x:v>25.876286</x:v>
      </x:c>
      <x:c r="R68" s="29" t="str">
        <x:v>S8b</x:v>
      </x:c>
      <x:c r="S68" s="29" t="n">
        <x:v>31</x:v>
      </x:c>
      <x:c r="T68" s="29" t="n">
        <x:v>52</x:v>
      </x:c>
    </x:row>
    <x:row r="69">
      <x:c r="A69" s="29" t="n">
        <x:v>68</x:v>
      </x:c>
      <x:c r="B69" s="29" t="str">
        <x:v>Tm</x:v>
      </x:c>
      <x:c r="C69" s="29" t="str">
        <x:v>P2-APEI</x:v>
      </x:c>
      <x:c r="D69" s="29" t="str">
        <x:v>Phosphorylated</x:v>
      </x:c>
      <x:c r="E69" s="29" t="str">
        <x:v>Binary</x:v>
      </x:c>
      <x:c r="F69" s="29" t="n">
        <x:v>1</x:v>
      </x:c>
      <x:c r="G69" s="29" t="str">
        <x:v>Uptake kinetics</x:v>
      </x:c>
      <x:c r="H69" s="40" t="n">
        <x:v>5</x:v>
      </x:c>
      <x:c r="I69" s="42" t="n">
        <x:v>30</x:v>
      </x:c>
      <x:c r="J69" s="44" t="n">
        <x:v>50</x:v>
      </x:c>
      <x:c r="K69" s="40" t="n">
        <x:v>0.295973</x:v>
      </x:c>
      <x:c r="L69" s="40" t="n">
        <x:v>0.257985</x:v>
      </x:c>
      <x:c r="M69" s="40" t="n">
        <x:v>0.871649</x:v>
      </x:c>
      <x:c r="N69" s="40" t="n">
        <x:v>0.25</x:v>
      </x:c>
      <x:c r="O69" s="46" t="n">
        <x:v>22</x:v>
      </x:c>
      <x:c r="P69" s="40" t="n">
        <x:v>0.151953</x:v>
      </x:c>
      <x:c r="Q69" s="44" t="n">
        <x:v>25.670102</x:v>
      </x:c>
      <x:c r="R69" s="29" t="str">
        <x:v>S8b</x:v>
      </x:c>
      <x:c r="S69" s="29" t="n">
        <x:v>31</x:v>
      </x:c>
      <x:c r="T69" s="29" t="n">
        <x:v>53</x:v>
      </x:c>
    </x:row>
    <x:row r="70">
      <x:c r="A70" s="29" t="n">
        <x:v>69</x:v>
      </x:c>
      <x:c r="B70" s="29" t="str">
        <x:v>Tm</x:v>
      </x:c>
      <x:c r="C70" s="29" t="str">
        <x:v>P2-APEI</x:v>
      </x:c>
      <x:c r="D70" s="29" t="str">
        <x:v>Phosphorylated</x:v>
      </x:c>
      <x:c r="E70" s="29" t="str">
        <x:v>Binary</x:v>
      </x:c>
      <x:c r="F70" s="29" t="n">
        <x:v>1</x:v>
      </x:c>
      <x:c r="G70" s="29" t="str">
        <x:v>Uptake kinetics</x:v>
      </x:c>
      <x:c r="H70" s="40" t="n">
        <x:v>5</x:v>
      </x:c>
      <x:c r="I70" s="42" t="n">
        <x:v>35</x:v>
      </x:c>
      <x:c r="J70" s="44" t="n">
        <x:v>50</x:v>
      </x:c>
      <x:c r="K70" s="40" t="n">
        <x:v>0.295973</x:v>
      </x:c>
      <x:c r="L70" s="40" t="n">
        <x:v>0.25768</x:v>
      </x:c>
      <x:c r="M70" s="40" t="n">
        <x:v>0.870619</x:v>
      </x:c>
      <x:c r="N70" s="40" t="n">
        <x:v>0.25</x:v>
      </x:c>
      <x:c r="O70" s="46" t="n">
        <x:v>22</x:v>
      </x:c>
      <x:c r="P70" s="40" t="n">
        <x:v>0.153174</x:v>
      </x:c>
      <x:c r="Q70" s="44" t="n">
        <x:v>25.876286</x:v>
      </x:c>
      <x:c r="R70" s="29" t="str">
        <x:v>S8b</x:v>
      </x:c>
      <x:c r="S70" s="29" t="n">
        <x:v>31</x:v>
      </x:c>
      <x:c r="T70" s="29" t="n">
        <x:v>54</x:v>
      </x:c>
    </x:row>
    <x:row r="71">
      <x:c r="A71" s="29" t="n">
        <x:v>70</x:v>
      </x:c>
      <x:c r="B71" s="29" t="str">
        <x:v>Tm</x:v>
      </x:c>
      <x:c r="C71" s="29" t="str">
        <x:v>P2-APEI</x:v>
      </x:c>
      <x:c r="D71" s="29" t="str">
        <x:v>Phosphorylated</x:v>
      </x:c>
      <x:c r="E71" s="29" t="str">
        <x:v>Binary</x:v>
      </x:c>
      <x:c r="F71" s="29" t="n">
        <x:v>1</x:v>
      </x:c>
      <x:c r="G71" s="29" t="str">
        <x:v>Uptake kinetics</x:v>
      </x:c>
      <x:c r="H71" s="40" t="n">
        <x:v>5</x:v>
      </x:c>
      <x:c r="I71" s="42" t="n">
        <x:v>40</x:v>
      </x:c>
      <x:c r="J71" s="44" t="n">
        <x:v>50</x:v>
      </x:c>
      <x:c r="K71" s="40" t="n">
        <x:v>0.295973</x:v>
      </x:c>
      <x:c r="L71" s="40" t="n">
        <x:v>0.257832</x:v>
      </x:c>
      <x:c r="M71" s="40" t="n">
        <x:v>0.871134</x:v>
      </x:c>
      <x:c r="N71" s="40" t="n">
        <x:v>0.25</x:v>
      </x:c>
      <x:c r="O71" s="46" t="n">
        <x:v>22</x:v>
      </x:c>
      <x:c r="P71" s="40" t="n">
        <x:v>0.152563</x:v>
      </x:c>
      <x:c r="Q71" s="44" t="n">
        <x:v>25.773194</x:v>
      </x:c>
      <x:c r="R71" s="29" t="str">
        <x:v>S8b</x:v>
      </x:c>
      <x:c r="S71" s="29" t="n">
        <x:v>31</x:v>
      </x:c>
      <x:c r="T71" s="29" t="n">
        <x:v>55</x:v>
      </x:c>
    </x:row>
    <x:row r="72">
      <x:c r="A72" s="29" t="n">
        <x:v>71</x:v>
      </x:c>
      <x:c r="B72" s="29" t="str">
        <x:v>Tm</x:v>
      </x:c>
      <x:c r="C72" s="29" t="str">
        <x:v>P2-APEI</x:v>
      </x:c>
      <x:c r="D72" s="29" t="str">
        <x:v>Phosphorylated</x:v>
      </x:c>
      <x:c r="E72" s="29" t="str">
        <x:v>Binary</x:v>
      </x:c>
      <x:c r="F72" s="29" t="n">
        <x:v>1</x:v>
      </x:c>
      <x:c r="G72" s="29" t="str">
        <x:v>Uptake kinetics</x:v>
      </x:c>
      <x:c r="H72" s="40" t="n">
        <x:v>5</x:v>
      </x:c>
      <x:c r="I72" s="42" t="n">
        <x:v>50</x:v>
      </x:c>
      <x:c r="J72" s="44" t="n">
        <x:v>50</x:v>
      </x:c>
      <x:c r="K72" s="40" t="n">
        <x:v>0.295973</x:v>
      </x:c>
      <x:c r="L72" s="40" t="n">
        <x:v>0.257985</x:v>
      </x:c>
      <x:c r="M72" s="40" t="n">
        <x:v>0.871649</x:v>
      </x:c>
      <x:c r="N72" s="40" t="n">
        <x:v>0.25</x:v>
      </x:c>
      <x:c r="O72" s="46" t="n">
        <x:v>22</x:v>
      </x:c>
      <x:c r="P72" s="40" t="n">
        <x:v>0.151953</x:v>
      </x:c>
      <x:c r="Q72" s="44" t="n">
        <x:v>25.670104</x:v>
      </x:c>
      <x:c r="R72" s="29" t="str">
        <x:v>S8b</x:v>
      </x:c>
      <x:c r="S72" s="29" t="n">
        <x:v>31</x:v>
      </x:c>
      <x:c r="T72" s="29" t="n">
        <x:v>56</x:v>
      </x:c>
    </x:row>
    <x:row r="73">
      <x:c r="A73" s="29" t="n">
        <x:v>72</x:v>
      </x:c>
      <x:c r="B73" s="29" t="str">
        <x:v>Tm</x:v>
      </x:c>
      <x:c r="C73" s="29" t="str">
        <x:v>P2-APEI</x:v>
      </x:c>
      <x:c r="D73" s="29" t="str">
        <x:v>Phosphorylated</x:v>
      </x:c>
      <x:c r="E73" s="29" t="str">
        <x:v>Binary</x:v>
      </x:c>
      <x:c r="F73" s="29" t="n">
        <x:v>1</x:v>
      </x:c>
      <x:c r="G73" s="29" t="str">
        <x:v>Uptake kinetics</x:v>
      </x:c>
      <x:c r="H73" s="40" t="n">
        <x:v>5</x:v>
      </x:c>
      <x:c r="I73" s="42" t="n">
        <x:v>60</x:v>
      </x:c>
      <x:c r="J73" s="44" t="n">
        <x:v>50</x:v>
      </x:c>
      <x:c r="K73" s="40" t="n">
        <x:v>0.295973</x:v>
      </x:c>
      <x:c r="L73" s="40" t="n">
        <x:v>0.25768</x:v>
      </x:c>
      <x:c r="M73" s="40" t="n">
        <x:v>0.870619</x:v>
      </x:c>
      <x:c r="N73" s="40" t="n">
        <x:v>0.25</x:v>
      </x:c>
      <x:c r="O73" s="46" t="n">
        <x:v>22</x:v>
      </x:c>
      <x:c r="P73" s="40" t="n">
        <x:v>0.153174</x:v>
      </x:c>
      <x:c r="Q73" s="44" t="n">
        <x:v>25.876291</x:v>
      </x:c>
      <x:c r="R73" s="29" t="str">
        <x:v>S8b</x:v>
      </x:c>
      <x:c r="S73" s="29" t="n">
        <x:v>31</x:v>
      </x:c>
      <x:c r="T73" s="29" t="n">
        <x:v>57</x:v>
      </x:c>
    </x:row>
    <x:row r="74">
      <x:c r="A74" s="29" t="n">
        <x:v>73</x:v>
      </x:c>
      <x:c r="B74" s="29" t="str">
        <x:v>Pr</x:v>
      </x:c>
      <x:c r="C74" s="29" t="str">
        <x:v>P2-APEI</x:v>
      </x:c>
      <x:c r="D74" s="29" t="str">
        <x:v>Phosphorylated</x:v>
      </x:c>
      <x:c r="E74" s="29" t="str">
        <x:v>Single</x:v>
      </x:c>
      <x:c r="F74" s="29" t="n">
        <x:v>1</x:v>
      </x:c>
      <x:c r="G74" s="29" t="str">
        <x:v>Sorption isotherm</x:v>
      </x:c>
      <x:c r="H74" s="40" t="n">
        <x:v>5</x:v>
      </x:c>
      <x:c r="I74" s="42" t="n">
        <x:v>2880</x:v>
      </x:c>
      <x:c r="J74" s="44" t="n">
        <x:v>10.264807</x:v>
      </x:c>
      <x:c r="K74" s="40" t="n">
        <x:v>0.072848</x:v>
      </x:c>
      <x:c r="L74" s="40" t="n">
        <x:v>0.016598</x:v>
      </x:c>
      <x:c r="M74" s="40"/>
      <x:c r="N74" s="40" t="n">
        <x:v>0.5</x:v>
      </x:c>
      <x:c r="O74" s="46" t="n">
        <x:v>22</x:v>
      </x:c>
      <x:c r="P74" s="40" t="n">
        <x:v>0.1125</x:v>
      </x:c>
      <x:c r="Q74" s="44" t="n">
        <x:v>15.852153</x:v>
      </x:c>
      <x:c r="R74" s="29" t="str">
        <x:v>S9</x:v>
      </x:c>
      <x:c r="S74" s="29" t="n">
        <x:v>32</x:v>
      </x:c>
      <x:c r="T74" s="29" t="n">
        <x:v>35</x:v>
      </x:c>
    </x:row>
    <x:row r="75">
      <x:c r="A75" s="29" t="n">
        <x:v>74</x:v>
      </x:c>
      <x:c r="B75" s="29" t="str">
        <x:v>Pr</x:v>
      </x:c>
      <x:c r="C75" s="29" t="str">
        <x:v>P2-APEI</x:v>
      </x:c>
      <x:c r="D75" s="29" t="str">
        <x:v>Phosphorylated</x:v>
      </x:c>
      <x:c r="E75" s="29" t="str">
        <x:v>Single</x:v>
      </x:c>
      <x:c r="F75" s="29" t="n">
        <x:v>1</x:v>
      </x:c>
      <x:c r="G75" s="29" t="str">
        <x:v>Sorption isotherm</x:v>
      </x:c>
      <x:c r="H75" s="40" t="n">
        <x:v>5</x:v>
      </x:c>
      <x:c r="I75" s="42" t="n">
        <x:v>2880</x:v>
      </x:c>
      <x:c r="J75" s="44" t="n">
        <x:v>20.529577</x:v>
      </x:c>
      <x:c r="K75" s="40" t="n">
        <x:v>0.145695</x:v>
      </x:c>
      <x:c r="L75" s="40" t="n">
        <x:v>0.033195</x:v>
      </x:c>
      <x:c r="M75" s="40"/>
      <x:c r="N75" s="40" t="n">
        <x:v>0.5</x:v>
      </x:c>
      <x:c r="O75" s="46" t="n">
        <x:v>22</x:v>
      </x:c>
      <x:c r="P75" s="40" t="n">
        <x:v>0.225</x:v>
      </x:c>
      <x:c r="Q75" s="44" t="n">
        <x:v>31.70427</x:v>
      </x:c>
      <x:c r="R75" s="29" t="str">
        <x:v>S9</x:v>
      </x:c>
      <x:c r="S75" s="29" t="n">
        <x:v>32</x:v>
      </x:c>
      <x:c r="T75" s="29" t="n">
        <x:v>36</x:v>
      </x:c>
    </x:row>
    <x:row r="76">
      <x:c r="A76" s="29" t="n">
        <x:v>75</x:v>
      </x:c>
      <x:c r="B76" s="29" t="str">
        <x:v>Pr</x:v>
      </x:c>
      <x:c r="C76" s="29" t="str">
        <x:v>P2-APEI</x:v>
      </x:c>
      <x:c r="D76" s="29" t="str">
        <x:v>Phosphorylated</x:v>
      </x:c>
      <x:c r="E76" s="29" t="str">
        <x:v>Single</x:v>
      </x:c>
      <x:c r="F76" s="29" t="n">
        <x:v>1</x:v>
      </x:c>
      <x:c r="G76" s="29" t="str">
        <x:v>Sorption isotherm</x:v>
      </x:c>
      <x:c r="H76" s="40" t="n">
        <x:v>5</x:v>
      </x:c>
      <x:c r="I76" s="42" t="n">
        <x:v>2880</x:v>
      </x:c>
      <x:c r="J76" s="44" t="n">
        <x:v>49.655725</x:v>
      </x:c>
      <x:c r="K76" s="40" t="n">
        <x:v>0.352399</x:v>
      </x:c>
      <x:c r="L76" s="40" t="n">
        <x:v>0.174274</x:v>
      </x:c>
      <x:c r="M76" s="40"/>
      <x:c r="N76" s="40" t="n">
        <x:v>0.5</x:v>
      </x:c>
      <x:c r="O76" s="46" t="n">
        <x:v>22</x:v>
      </x:c>
      <x:c r="P76" s="40" t="n">
        <x:v>0.35625</x:v>
      </x:c>
      <x:c r="Q76" s="44" t="n">
        <x:v>50.198396</x:v>
      </x:c>
      <x:c r="R76" s="29" t="str">
        <x:v>S9</x:v>
      </x:c>
      <x:c r="S76" s="29" t="n">
        <x:v>32</x:v>
      </x:c>
      <x:c r="T76" s="29" t="n">
        <x:v>37</x:v>
      </x:c>
    </x:row>
    <x:row r="77">
      <x:c r="A77" s="29" t="n">
        <x:v>76</x:v>
      </x:c>
      <x:c r="B77" s="29" t="str">
        <x:v>Pr</x:v>
      </x:c>
      <x:c r="C77" s="29" t="str">
        <x:v>P2-APEI</x:v>
      </x:c>
      <x:c r="D77" s="29" t="str">
        <x:v>Phosphorylated</x:v>
      </x:c>
      <x:c r="E77" s="29" t="str">
        <x:v>Single</x:v>
      </x:c>
      <x:c r="F77" s="29" t="n">
        <x:v>1</x:v>
      </x:c>
      <x:c r="G77" s="29" t="str">
        <x:v>Sorption isotherm</x:v>
      </x:c>
      <x:c r="H77" s="40" t="n">
        <x:v>5</x:v>
      </x:c>
      <x:c r="I77" s="42" t="n">
        <x:v>2880</x:v>
      </x:c>
      <x:c r="J77" s="44" t="n">
        <x:v>100.737303</x:v>
      </x:c>
      <x:c r="K77" s="40" t="n">
        <x:v>0.714917</x:v>
      </x:c>
      <x:c r="L77" s="40" t="n">
        <x:v>0.414938</x:v>
      </x:c>
      <x:c r="M77" s="40"/>
      <x:c r="N77" s="40" t="n">
        <x:v>0.5</x:v>
      </x:c>
      <x:c r="O77" s="46" t="n">
        <x:v>22</x:v>
      </x:c>
      <x:c r="P77" s="40" t="n">
        <x:v>0.599959</x:v>
      </x:c>
      <x:c r="Q77" s="44" t="n">
        <x:v>84.538753</x:v>
      </x:c>
      <x:c r="R77" s="29" t="str">
        <x:v>S9</x:v>
      </x:c>
      <x:c r="S77" s="29" t="n">
        <x:v>32</x:v>
      </x:c>
      <x:c r="T77" s="29" t="n">
        <x:v>38</x:v>
      </x:c>
    </x:row>
    <x:row r="78">
      <x:c r="A78" s="29" t="n">
        <x:v>77</x:v>
      </x:c>
      <x:c r="B78" s="29" t="str">
        <x:v>Pr</x:v>
      </x:c>
      <x:c r="C78" s="29" t="str">
        <x:v>P2-APEI</x:v>
      </x:c>
      <x:c r="D78" s="29" t="str">
        <x:v>Phosphorylated</x:v>
      </x:c>
      <x:c r="E78" s="29" t="str">
        <x:v>Single</x:v>
      </x:c>
      <x:c r="F78" s="29" t="n">
        <x:v>1</x:v>
      </x:c>
      <x:c r="G78" s="29" t="str">
        <x:v>Sorption isotherm</x:v>
      </x:c>
      <x:c r="H78" s="40" t="n">
        <x:v>5</x:v>
      </x:c>
      <x:c r="I78" s="42" t="n">
        <x:v>2880</x:v>
      </x:c>
      <x:c r="J78" s="44" t="n">
        <x:v>150.500786</x:v>
      </x:c>
      <x:c r="K78" s="40" t="n">
        <x:v>1.068081</x:v>
      </x:c>
      <x:c r="L78" s="40" t="n">
        <x:v>0.655602</x:v>
      </x:c>
      <x:c r="M78" s="40"/>
      <x:c r="N78" s="40" t="n">
        <x:v>0.5</x:v>
      </x:c>
      <x:c r="O78" s="46" t="n">
        <x:v>22</x:v>
      </x:c>
      <x:c r="P78" s="40" t="n">
        <x:v>0.824958</x:v>
      </x:c>
      <x:c r="Q78" s="44" t="n">
        <x:v>116.242967</x:v>
      </x:c>
      <x:c r="R78" s="29" t="str">
        <x:v>S9</x:v>
      </x:c>
      <x:c r="S78" s="29" t="n">
        <x:v>32</x:v>
      </x:c>
      <x:c r="T78" s="29" t="n">
        <x:v>39</x:v>
      </x:c>
    </x:row>
    <x:row r="79">
      <x:c r="A79" s="29" t="n">
        <x:v>78</x:v>
      </x:c>
      <x:c r="B79" s="29" t="str">
        <x:v>Pr</x:v>
      </x:c>
      <x:c r="C79" s="29" t="str">
        <x:v>P2-APEI</x:v>
      </x:c>
      <x:c r="D79" s="29" t="str">
        <x:v>Phosphorylated</x:v>
      </x:c>
      <x:c r="E79" s="29" t="str">
        <x:v>Single</x:v>
      </x:c>
      <x:c r="F79" s="29" t="n">
        <x:v>1</x:v>
      </x:c>
      <x:c r="G79" s="29" t="str">
        <x:v>Sorption isotherm</x:v>
      </x:c>
      <x:c r="H79" s="40" t="n">
        <x:v>5</x:v>
      </x:c>
      <x:c r="I79" s="42" t="n">
        <x:v>2880</x:v>
      </x:c>
      <x:c r="J79" s="44" t="n">
        <x:v>200.552955</x:v>
      </x:c>
      <x:c r="K79" s="40" t="n">
        <x:v>1.423293</x:v>
      </x:c>
      <x:c r="L79" s="40" t="n">
        <x:v>0.904564</x:v>
      </x:c>
      <x:c r="M79" s="40"/>
      <x:c r="N79" s="40" t="n">
        <x:v>0.5</x:v>
      </x:c>
      <x:c r="O79" s="46" t="n">
        <x:v>22</x:v>
      </x:c>
      <x:c r="P79" s="40" t="n">
        <x:v>1.037458</x:v>
      </x:c>
      <x:c r="Q79" s="44" t="n">
        <x:v>146.185841</x:v>
      </x:c>
      <x:c r="R79" s="29" t="str">
        <x:v>S9</x:v>
      </x:c>
      <x:c r="S79" s="29" t="n">
        <x:v>32</x:v>
      </x:c>
      <x:c r="T79" s="29" t="n">
        <x:v>40</x:v>
      </x:c>
    </x:row>
    <x:row r="80">
      <x:c r="A80" s="29" t="n">
        <x:v>79</x:v>
      </x:c>
      <x:c r="B80" s="29" t="str">
        <x:v>Pr</x:v>
      </x:c>
      <x:c r="C80" s="29" t="str">
        <x:v>P2-APEI</x:v>
      </x:c>
      <x:c r="D80" s="29" t="str">
        <x:v>Phosphorylated</x:v>
      </x:c>
      <x:c r="E80" s="29" t="str">
        <x:v>Single</x:v>
      </x:c>
      <x:c r="F80" s="29" t="n">
        <x:v>1</x:v>
      </x:c>
      <x:c r="G80" s="29" t="str">
        <x:v>Sorption isotherm</x:v>
      </x:c>
      <x:c r="H80" s="40" t="n">
        <x:v>5</x:v>
      </x:c>
      <x:c r="I80" s="42" t="n">
        <x:v>2880</x:v>
      </x:c>
      <x:c r="J80" s="44" t="n">
        <x:v>291.106942</x:v>
      </x:c>
      <x:c r="K80" s="40" t="n">
        <x:v>2.065941</x:v>
      </x:c>
      <x:c r="L80" s="40" t="n">
        <x:v>1.419087</x:v>
      </x:c>
      <x:c r="M80" s="40"/>
      <x:c r="N80" s="40" t="n">
        <x:v>0.5</x:v>
      </x:c>
      <x:c r="O80" s="46" t="n">
        <x:v>22</x:v>
      </x:c>
      <x:c r="P80" s="40" t="n">
        <x:v>1.293708</x:v>
      </x:c>
      <x:c r="Q80" s="44" t="n">
        <x:v>182.293415</x:v>
      </x:c>
      <x:c r="R80" s="29" t="str">
        <x:v>S9</x:v>
      </x:c>
      <x:c r="S80" s="29" t="n">
        <x:v>32</x:v>
      </x:c>
      <x:c r="T80" s="29" t="n">
        <x:v>41</x:v>
      </x:c>
    </x:row>
    <x:row r="81">
      <x:c r="A81" s="29" t="n">
        <x:v>80</x:v>
      </x:c>
      <x:c r="B81" s="29" t="str">
        <x:v>Pr</x:v>
      </x:c>
      <x:c r="C81" s="29" t="str">
        <x:v>P2-APEI</x:v>
      </x:c>
      <x:c r="D81" s="29" t="str">
        <x:v>Phosphorylated</x:v>
      </x:c>
      <x:c r="E81" s="29" t="str">
        <x:v>Single</x:v>
      </x:c>
      <x:c r="F81" s="29" t="n">
        <x:v>1</x:v>
      </x:c>
      <x:c r="G81" s="29" t="str">
        <x:v>Sorption isotherm</x:v>
      </x:c>
      <x:c r="H81" s="40" t="n">
        <x:v>5</x:v>
      </x:c>
      <x:c r="I81" s="42" t="n">
        <x:v>2880</x:v>
      </x:c>
      <x:c r="J81" s="44" t="n">
        <x:v>358.547838</x:v>
      </x:c>
      <x:c r="K81" s="40" t="n">
        <x:v>2.544559</x:v>
      </x:c>
      <x:c r="L81" s="40" t="n">
        <x:v>1.80083</x:v>
      </x:c>
      <x:c r="M81" s="40"/>
      <x:c r="N81" s="40" t="n">
        <x:v>0.5</x:v>
      </x:c>
      <x:c r="O81" s="46" t="n">
        <x:v>22</x:v>
      </x:c>
      <x:c r="P81" s="40" t="n">
        <x:v>1.487458</x:v>
      </x:c>
      <x:c r="Q81" s="44" t="n">
        <x:v>209.594251</x:v>
      </x:c>
      <x:c r="R81" s="29" t="str">
        <x:v>S9</x:v>
      </x:c>
      <x:c r="S81" s="29" t="n">
        <x:v>32</x:v>
      </x:c>
      <x:c r="T81" s="29" t="n">
        <x:v>42</x:v>
      </x:c>
    </x:row>
    <x:row r="82">
      <x:c r="A82" s="29" t="n">
        <x:v>81</x:v>
      </x:c>
      <x:c r="B82" s="29" t="str">
        <x:v>Pr</x:v>
      </x:c>
      <x:c r="C82" s="29" t="str">
        <x:v>P2-APEI</x:v>
      </x:c>
      <x:c r="D82" s="29" t="str">
        <x:v>Phosphorylated</x:v>
      </x:c>
      <x:c r="E82" s="29" t="str">
        <x:v>Single</x:v>
      </x:c>
      <x:c r="F82" s="29" t="n">
        <x:v>1</x:v>
      </x:c>
      <x:c r="G82" s="29" t="str">
        <x:v>Sorption isotherm</x:v>
      </x:c>
      <x:c r="H82" s="40" t="n">
        <x:v>5</x:v>
      </x:c>
      <x:c r="I82" s="42" t="n">
        <x:v>2880</x:v>
      </x:c>
      <x:c r="J82" s="44" t="n">
        <x:v>458.68692</x:v>
      </x:c>
      <x:c r="K82" s="40" t="n">
        <x:v>3.255231</x:v>
      </x:c>
      <x:c r="L82" s="40" t="n">
        <x:v>2.489626</x:v>
      </x:c>
      <x:c r="M82" s="40"/>
      <x:c r="N82" s="40" t="n">
        <x:v>0.5</x:v>
      </x:c>
      <x:c r="O82" s="46" t="n">
        <x:v>22</x:v>
      </x:c>
      <x:c r="P82" s="40" t="n">
        <x:v>1.531208</x:v>
      </x:c>
      <x:c r="Q82" s="44" t="n">
        <x:v>215.75896</x:v>
      </x:c>
      <x:c r="R82" s="29" t="str">
        <x:v>S9</x:v>
      </x:c>
      <x:c r="S82" s="29" t="n">
        <x:v>32</x:v>
      </x:c>
      <x:c r="T82" s="29" t="n">
        <x:v>43</x:v>
      </x:c>
    </x:row>
    <x:row r="83">
      <x:c r="A83" s="29" t="n">
        <x:v>82</x:v>
      </x:c>
      <x:c r="B83" s="29" t="str">
        <x:v>Pr</x:v>
      </x:c>
      <x:c r="C83" s="29" t="str">
        <x:v>P2-APEI</x:v>
      </x:c>
      <x:c r="D83" s="29" t="str">
        <x:v>Phosphorylated</x:v>
      </x:c>
      <x:c r="E83" s="29" t="str">
        <x:v>Single</x:v>
      </x:c>
      <x:c r="F83" s="29" t="n">
        <x:v>1</x:v>
      </x:c>
      <x:c r="G83" s="29" t="str">
        <x:v>Sorption isotherm</x:v>
      </x:c>
      <x:c r="H83" s="40" t="n">
        <x:v>5</x:v>
      </x:c>
      <x:c r="I83" s="42" t="n">
        <x:v>2880</x:v>
      </x:c>
      <x:c r="J83" s="44" t="n">
        <x:v>497.867733</x:v>
      </x:c>
      <x:c r="K83" s="40" t="n">
        <x:v>3.533291</x:v>
      </x:c>
      <x:c r="L83" s="40" t="n">
        <x:v>2.755187</x:v>
      </x:c>
      <x:c r="M83" s="40"/>
      <x:c r="N83" s="40" t="n">
        <x:v>0.5</x:v>
      </x:c>
      <x:c r="O83" s="46" t="n">
        <x:v>22</x:v>
      </x:c>
      <x:c r="P83" s="40" t="n">
        <x:v>1.556208</x:v>
      </x:c>
      <x:c r="Q83" s="44" t="n">
        <x:v>219.28165</x:v>
      </x:c>
      <x:c r="R83" s="29" t="str">
        <x:v>S9</x:v>
      </x:c>
      <x:c r="S83" s="29" t="n">
        <x:v>32</x:v>
      </x:c>
      <x:c r="T83" s="29" t="n">
        <x:v>44</x:v>
      </x:c>
    </x:row>
    <x:row r="84">
      <x:c r="A84" s="29" t="n">
        <x:v>83</x:v>
      </x:c>
      <x:c r="B84" s="29" t="str">
        <x:v>Pr</x:v>
      </x:c>
      <x:c r="C84" s="29" t="str">
        <x:v>P2-APEI</x:v>
      </x:c>
      <x:c r="D84" s="29" t="str">
        <x:v>Phosphorylated</x:v>
      </x:c>
      <x:c r="E84" s="29" t="str">
        <x:v>Single</x:v>
      </x:c>
      <x:c r="F84" s="29" t="n">
        <x:v>2</x:v>
      </x:c>
      <x:c r="G84" s="29" t="str">
        <x:v>Sorption isotherm</x:v>
      </x:c>
      <x:c r="H84" s="40" t="n">
        <x:v>5</x:v>
      </x:c>
      <x:c r="I84" s="42" t="n">
        <x:v>2880</x:v>
      </x:c>
      <x:c r="J84" s="44" t="n">
        <x:v>9.459966</x:v>
      </x:c>
      <x:c r="K84" s="40" t="n">
        <x:v>0.067136</x:v>
      </x:c>
      <x:c r="L84" s="40" t="n">
        <x:v>0.012448</x:v>
      </x:c>
      <x:c r="M84" s="40"/>
      <x:c r="N84" s="40" t="n">
        <x:v>0.5</x:v>
      </x:c>
      <x:c r="O84" s="46" t="n">
        <x:v>22</x:v>
      </x:c>
      <x:c r="P84" s="40" t="n">
        <x:v>0.109375</x:v>
      </x:c>
      <x:c r="Q84" s="44" t="n">
        <x:v>15.411827</x:v>
      </x:c>
      <x:c r="R84" s="29" t="str">
        <x:v>S9</x:v>
      </x:c>
      <x:c r="S84" s="29" t="n">
        <x:v>32</x:v>
      </x:c>
      <x:c r="T84" s="29" t="n">
        <x:v>46</x:v>
      </x:c>
    </x:row>
    <x:row r="85">
      <x:c r="A85" s="29" t="n">
        <x:v>84</x:v>
      </x:c>
      <x:c r="B85" s="29" t="str">
        <x:v>Pr</x:v>
      </x:c>
      <x:c r="C85" s="29" t="str">
        <x:v>P2-APEI</x:v>
      </x:c>
      <x:c r="D85" s="29" t="str">
        <x:v>Phosphorylated</x:v>
      </x:c>
      <x:c r="E85" s="29" t="str">
        <x:v>Single</x:v>
      </x:c>
      <x:c r="F85" s="29" t="n">
        <x:v>2</x:v>
      </x:c>
      <x:c r="G85" s="29" t="str">
        <x:v>Sorption isotherm</x:v>
      </x:c>
      <x:c r="H85" s="40" t="n">
        <x:v>5</x:v>
      </x:c>
      <x:c r="I85" s="42" t="n">
        <x:v>2880</x:v>
      </x:c>
      <x:c r="J85" s="44" t="n">
        <x:v>20.453764</x:v>
      </x:c>
      <x:c r="K85" s="40" t="n">
        <x:v>0.145157</x:v>
      </x:c>
      <x:c r="L85" s="40" t="n">
        <x:v>0.037345</x:v>
      </x:c>
      <x:c r="M85" s="40"/>
      <x:c r="N85" s="40" t="n">
        <x:v>0.5</x:v>
      </x:c>
      <x:c r="O85" s="46" t="n">
        <x:v>22</x:v>
      </x:c>
      <x:c r="P85" s="40" t="n">
        <x:v>0.215625</x:v>
      </x:c>
      <x:c r="Q85" s="44" t="n">
        <x:v>30.383274</x:v>
      </x:c>
      <x:c r="R85" s="29" t="str">
        <x:v>S9</x:v>
      </x:c>
      <x:c r="S85" s="29" t="n">
        <x:v>32</x:v>
      </x:c>
      <x:c r="T85" s="29" t="n">
        <x:v>47</x:v>
      </x:c>
    </x:row>
    <x:row r="86">
      <x:c r="A86" s="29" t="n">
        <x:v>85</x:v>
      </x:c>
      <x:c r="B86" s="29" t="str">
        <x:v>Pr</x:v>
      </x:c>
      <x:c r="C86" s="29" t="str">
        <x:v>P2-APEI</x:v>
      </x:c>
      <x:c r="D86" s="29" t="str">
        <x:v>Phosphorylated</x:v>
      </x:c>
      <x:c r="E86" s="29" t="str">
        <x:v>Single</x:v>
      </x:c>
      <x:c r="F86" s="29" t="n">
        <x:v>2</x:v>
      </x:c>
      <x:c r="G86" s="29" t="str">
        <x:v>Sorption isotherm</x:v>
      </x:c>
      <x:c r="H86" s="40" t="n">
        <x:v>5</x:v>
      </x:c>
      <x:c r="I86" s="42" t="n">
        <x:v>2880</x:v>
      </x:c>
      <x:c r="J86" s="44" t="n">
        <x:v>50.020235</x:v>
      </x:c>
      <x:c r="K86" s="40" t="n">
        <x:v>0.354986</x:v>
      </x:c>
      <x:c r="L86" s="40" t="n">
        <x:v>0.178423</x:v>
      </x:c>
      <x:c r="M86" s="40"/>
      <x:c r="N86" s="40" t="n">
        <x:v>0.5</x:v>
      </x:c>
      <x:c r="O86" s="46" t="n">
        <x:v>22</x:v>
      </x:c>
      <x:c r="P86" s="40" t="n">
        <x:v>0.353125</x:v>
      </x:c>
      <x:c r="Q86" s="44" t="n">
        <x:v>49.758061</x:v>
      </x:c>
      <x:c r="R86" s="29" t="str">
        <x:v>S9</x:v>
      </x:c>
      <x:c r="S86" s="29" t="n">
        <x:v>32</x:v>
      </x:c>
      <x:c r="T86" s="29" t="n">
        <x:v>48</x:v>
      </x:c>
    </x:row>
    <x:row r="87">
      <x:c r="A87" s="29" t="n">
        <x:v>86</x:v>
      </x:c>
      <x:c r="B87" s="29" t="str">
        <x:v>Pr</x:v>
      </x:c>
      <x:c r="C87" s="29" t="str">
        <x:v>P2-APEI</x:v>
      </x:c>
      <x:c r="D87" s="29" t="str">
        <x:v>Phosphorylated</x:v>
      </x:c>
      <x:c r="E87" s="29" t="str">
        <x:v>Single</x:v>
      </x:c>
      <x:c r="F87" s="29" t="n">
        <x:v>2</x:v>
      </x:c>
      <x:c r="G87" s="29" t="str">
        <x:v>Sorption isotherm</x:v>
      </x:c>
      <x:c r="H87" s="40" t="n">
        <x:v>5</x:v>
      </x:c>
      <x:c r="I87" s="42" t="n">
        <x:v>2880</x:v>
      </x:c>
      <x:c r="J87" s="44" t="n">
        <x:v>98.766028</x:v>
      </x:c>
      <x:c r="K87" s="40" t="n">
        <x:v>0.700927</x:v>
      </x:c>
      <x:c r="L87" s="40" t="n">
        <x:v>0.40249</x:v>
      </x:c>
      <x:c r="M87" s="40"/>
      <x:c r="N87" s="40" t="n">
        <x:v>0.5</x:v>
      </x:c>
      <x:c r="O87" s="46" t="n">
        <x:v>22</x:v>
      </x:c>
      <x:c r="P87" s="40" t="n">
        <x:v>0.596875</x:v>
      </x:c>
      <x:c r="Q87" s="44" t="n">
        <x:v>84.104295</x:v>
      </x:c>
      <x:c r="R87" s="29" t="str">
        <x:v>S9</x:v>
      </x:c>
      <x:c r="S87" s="29" t="n">
        <x:v>32</x:v>
      </x:c>
      <x:c r="T87" s="29" t="n">
        <x:v>49</x:v>
      </x:c>
    </x:row>
    <x:row r="88">
      <x:c r="A88" s="29" t="n">
        <x:v>87</x:v>
      </x:c>
      <x:c r="B88" s="29" t="str">
        <x:v>Pr</x:v>
      </x:c>
      <x:c r="C88" s="29" t="str">
        <x:v>P2-APEI</x:v>
      </x:c>
      <x:c r="D88" s="29" t="str">
        <x:v>Phosphorylated</x:v>
      </x:c>
      <x:c r="E88" s="29" t="str">
        <x:v>Single</x:v>
      </x:c>
      <x:c r="F88" s="29" t="n">
        <x:v>2</x:v>
      </x:c>
      <x:c r="G88" s="29" t="str">
        <x:v>Sorption isotherm</x:v>
      </x:c>
      <x:c r="H88" s="40" t="n">
        <x:v>5</x:v>
      </x:c>
      <x:c r="I88" s="42" t="n">
        <x:v>2880</x:v>
      </x:c>
      <x:c r="J88" s="44" t="n">
        <x:v>153.055297</x:v>
      </x:c>
      <x:c r="K88" s="40" t="n">
        <x:v>1.08621</x:v>
      </x:c>
      <x:c r="L88" s="40" t="n">
        <x:v>0.684647</x:v>
      </x:c>
      <x:c r="M88" s="40"/>
      <x:c r="N88" s="40" t="n">
        <x:v>0.5</x:v>
      </x:c>
      <x:c r="O88" s="46" t="n">
        <x:v>22</x:v>
      </x:c>
      <x:c r="P88" s="40" t="n">
        <x:v>0.803125</x:v>
      </x:c>
      <x:c r="Q88" s="44" t="n">
        <x:v>113.166471</x:v>
      </x:c>
      <x:c r="R88" s="29" t="str">
        <x:v>S9</x:v>
      </x:c>
      <x:c r="S88" s="29" t="n">
        <x:v>32</x:v>
      </x:c>
      <x:c r="T88" s="29" t="n">
        <x:v>50</x:v>
      </x:c>
    </x:row>
    <x:row r="89">
      <x:c r="A89" s="29" t="n">
        <x:v>88</x:v>
      </x:c>
      <x:c r="B89" s="29" t="str">
        <x:v>Pr</x:v>
      </x:c>
      <x:c r="C89" s="29" t="str">
        <x:v>P2-APEI</x:v>
      </x:c>
      <x:c r="D89" s="29" t="str">
        <x:v>Phosphorylated</x:v>
      </x:c>
      <x:c r="E89" s="29" t="str">
        <x:v>Single</x:v>
      </x:c>
      <x:c r="F89" s="29" t="n">
        <x:v>2</x:v>
      </x:c>
      <x:c r="G89" s="29" t="str">
        <x:v>Sorption isotherm</x:v>
      </x:c>
      <x:c r="H89" s="40" t="n">
        <x:v>5</x:v>
      </x:c>
      <x:c r="I89" s="42" t="n">
        <x:v>2880</x:v>
      </x:c>
      <x:c r="J89" s="44" t="n">
        <x:v>197.975073</x:v>
      </x:c>
      <x:c r="K89" s="40" t="n">
        <x:v>1.404999</x:v>
      </x:c>
      <x:c r="L89" s="40" t="n">
        <x:v>0.925311</x:v>
      </x:c>
      <x:c r="M89" s="40"/>
      <x:c r="N89" s="40" t="n">
        <x:v>0.5</x:v>
      </x:c>
      <x:c r="O89" s="46" t="n">
        <x:v>22</x:v>
      </x:c>
      <x:c r="P89" s="40" t="n">
        <x:v>0.959375</x:v>
      </x:c>
      <x:c r="Q89" s="44" t="n">
        <x:v>135.183296</x:v>
      </x:c>
      <x:c r="R89" s="29" t="str">
        <x:v>S9</x:v>
      </x:c>
      <x:c r="S89" s="29" t="n">
        <x:v>32</x:v>
      </x:c>
      <x:c r="T89" s="29" t="n">
        <x:v>51</x:v>
      </x:c>
    </x:row>
    <x:row r="90">
      <x:c r="A90" s="29" t="n">
        <x:v>89</x:v>
      </x:c>
      <x:c r="B90" s="29" t="str">
        <x:v>Pr</x:v>
      </x:c>
      <x:c r="C90" s="29" t="str">
        <x:v>P2-APEI</x:v>
      </x:c>
      <x:c r="D90" s="29" t="str">
        <x:v>Phosphorylated</x:v>
      </x:c>
      <x:c r="E90" s="29" t="str">
        <x:v>Single</x:v>
      </x:c>
      <x:c r="F90" s="29" t="n">
        <x:v>2</x:v>
      </x:c>
      <x:c r="G90" s="29" t="str">
        <x:v>Sorption isotherm</x:v>
      </x:c>
      <x:c r="H90" s="40" t="n">
        <x:v>5</x:v>
      </x:c>
      <x:c r="I90" s="42" t="n">
        <x:v>2880</x:v>
      </x:c>
      <x:c r="J90" s="44" t="n">
        <x:v>267.191932</x:v>
      </x:c>
      <x:c r="K90" s="40" t="n">
        <x:v>1.89622</x:v>
      </x:c>
      <x:c r="L90" s="40" t="n">
        <x:v>1.282158</x:v>
      </x:c>
      <x:c r="M90" s="40"/>
      <x:c r="N90" s="40" t="n">
        <x:v>0.5</x:v>
      </x:c>
      <x:c r="O90" s="46" t="n">
        <x:v>22</x:v>
      </x:c>
      <x:c r="P90" s="40" t="n">
        <x:v>1.228125</x:v>
      </x:c>
      <x:c r="Q90" s="44" t="n">
        <x:v>173.05222</x:v>
      </x:c>
      <x:c r="R90" s="29" t="str">
        <x:v>S9</x:v>
      </x:c>
      <x:c r="S90" s="29" t="n">
        <x:v>32</x:v>
      </x:c>
      <x:c r="T90" s="29" t="n">
        <x:v>52</x:v>
      </x:c>
    </x:row>
    <x:row r="91">
      <x:c r="A91" s="29" t="n">
        <x:v>90</x:v>
      </x:c>
      <x:c r="B91" s="29" t="str">
        <x:v>Pr</x:v>
      </x:c>
      <x:c r="C91" s="29" t="str">
        <x:v>P2-APEI</x:v>
      </x:c>
      <x:c r="D91" s="29" t="str">
        <x:v>Phosphorylated</x:v>
      </x:c>
      <x:c r="E91" s="29" t="str">
        <x:v>Single</x:v>
      </x:c>
      <x:c r="F91" s="29" t="n">
        <x:v>2</x:v>
      </x:c>
      <x:c r="G91" s="29" t="str">
        <x:v>Sorption isotherm</x:v>
      </x:c>
      <x:c r="H91" s="40" t="n">
        <x:v>5</x:v>
      </x:c>
      <x:c r="I91" s="42" t="n">
        <x:v>2880</x:v>
      </x:c>
      <x:c r="J91" s="44" t="n">
        <x:v>352.036162</x:v>
      </x:c>
      <x:c r="K91" s="40" t="n">
        <x:v>2.498347</x:v>
      </x:c>
      <x:c r="L91" s="40" t="n">
        <x:v>1.771784</x:v>
      </x:c>
      <x:c r="M91" s="40"/>
      <x:c r="N91" s="40" t="n">
        <x:v>0.5</x:v>
      </x:c>
      <x:c r="O91" s="46" t="n">
        <x:v>22</x:v>
      </x:c>
      <x:c r="P91" s="40" t="n">
        <x:v>1.453125</x:v>
      </x:c>
      <x:c r="Q91" s="44" t="n">
        <x:v>204.756415</x:v>
      </x:c>
      <x:c r="R91" s="29" t="str">
        <x:v>S9</x:v>
      </x:c>
      <x:c r="S91" s="29" t="n">
        <x:v>32</x:v>
      </x:c>
      <x:c r="T91" s="29" t="n">
        <x:v>53</x:v>
      </x:c>
    </x:row>
    <x:row r="92">
      <x:c r="A92" s="29" t="n">
        <x:v>91</x:v>
      </x:c>
      <x:c r="B92" s="29" t="str">
        <x:v>Pr</x:v>
      </x:c>
      <x:c r="C92" s="29" t="str">
        <x:v>P2-APEI</x:v>
      </x:c>
      <x:c r="D92" s="29" t="str">
        <x:v>Phosphorylated</x:v>
      </x:c>
      <x:c r="E92" s="29" t="str">
        <x:v>Single</x:v>
      </x:c>
      <x:c r="F92" s="29" t="n">
        <x:v>2</x:v>
      </x:c>
      <x:c r="G92" s="29" t="str">
        <x:v>Sorption isotherm</x:v>
      </x:c>
      <x:c r="H92" s="40" t="n">
        <x:v>5</x:v>
      </x:c>
      <x:c r="I92" s="42" t="n">
        <x:v>2880</x:v>
      </x:c>
      <x:c r="J92" s="44" t="n">
        <x:v>450.428539</x:v>
      </x:c>
      <x:c r="K92" s="40" t="n">
        <x:v>3.196622</x:v>
      </x:c>
      <x:c r="L92" s="40" t="n">
        <x:v>2.435685</x:v>
      </x:c>
      <x:c r="M92" s="40"/>
      <x:c r="N92" s="40" t="n">
        <x:v>0.5</x:v>
      </x:c>
      <x:c r="O92" s="46" t="n">
        <x:v>22</x:v>
      </x:c>
      <x:c r="P92" s="40" t="n">
        <x:v>1.521875</x:v>
      </x:c>
      <x:c r="Q92" s="44" t="n">
        <x:v>214.443805</x:v>
      </x:c>
      <x:c r="R92" s="29" t="str">
        <x:v>S9</x:v>
      </x:c>
      <x:c r="S92" s="29" t="n">
        <x:v>32</x:v>
      </x:c>
      <x:c r="T92" s="29" t="n">
        <x:v>54</x:v>
      </x:c>
    </x:row>
    <x:row r="93">
      <x:c r="A93" s="29" t="n">
        <x:v>92</x:v>
      </x:c>
      <x:c r="B93" s="29" t="str">
        <x:v>Pr</x:v>
      </x:c>
      <x:c r="C93" s="29" t="str">
        <x:v>P2-APEI</x:v>
      </x:c>
      <x:c r="D93" s="29" t="str">
        <x:v>Phosphorylated</x:v>
      </x:c>
      <x:c r="E93" s="29" t="str">
        <x:v>Single</x:v>
      </x:c>
      <x:c r="F93" s="29" t="n">
        <x:v>2</x:v>
      </x:c>
      <x:c r="G93" s="29" t="str">
        <x:v>Sorption isotherm</x:v>
      </x:c>
      <x:c r="H93" s="40" t="n">
        <x:v>5</x:v>
      </x:c>
      <x:c r="I93" s="42" t="n">
        <x:v>2880</x:v>
      </x:c>
      <x:c r="J93" s="44" t="n">
        <x:v>498.372203</x:v>
      </x:c>
      <x:c r="K93" s="40" t="n">
        <x:v>3.536871</x:v>
      </x:c>
      <x:c r="L93" s="40" t="n">
        <x:v>2.775934</x:v>
      </x:c>
      <x:c r="M93" s="40"/>
      <x:c r="N93" s="40" t="n">
        <x:v>0.5</x:v>
      </x:c>
      <x:c r="O93" s="46" t="n">
        <x:v>22</x:v>
      </x:c>
      <x:c r="P93" s="40" t="n">
        <x:v>1.521875</x:v>
      </x:c>
      <x:c r="Q93" s="44" t="n">
        <x:v>214.443786</x:v>
      </x:c>
      <x:c r="R93" s="29" t="str">
        <x:v>S9</x:v>
      </x:c>
      <x:c r="S93" s="29" t="n">
        <x:v>32</x:v>
      </x:c>
      <x:c r="T93" s="29" t="n">
        <x:v>55</x:v>
      </x:c>
    </x:row>
    <x:row r="94">
      <x:c r="A94" s="29" t="n">
        <x:v>93</x:v>
      </x:c>
      <x:c r="B94" s="29" t="str">
        <x:v>Tm</x:v>
      </x:c>
      <x:c r="C94" s="29" t="str">
        <x:v>P2-APEI</x:v>
      </x:c>
      <x:c r="D94" s="29" t="str">
        <x:v>Phosphorylated</x:v>
      </x:c>
      <x:c r="E94" s="29" t="str">
        <x:v>Single</x:v>
      </x:c>
      <x:c r="F94" s="29" t="n">
        <x:v>1</x:v>
      </x:c>
      <x:c r="G94" s="29" t="str">
        <x:v>Sorption isotherm</x:v>
      </x:c>
      <x:c r="H94" s="40" t="n">
        <x:v>5</x:v>
      </x:c>
      <x:c r="I94" s="42" t="n">
        <x:v>2880</x:v>
      </x:c>
      <x:c r="J94" s="44" t="n">
        <x:v>9.138962</x:v>
      </x:c>
      <x:c r="K94" s="40" t="n">
        <x:v>0.054098</x:v>
      </x:c>
      <x:c r="L94" s="40" t="n">
        <x:v>0.016598</x:v>
      </x:c>
      <x:c r="M94" s="40"/>
      <x:c r="N94" s="40" t="n">
        <x:v>0.5</x:v>
      </x:c>
      <x:c r="O94" s="46" t="n">
        <x:v>22</x:v>
      </x:c>
      <x:c r="P94" s="40" t="n">
        <x:v>0.075</x:v>
      </x:c>
      <x:c r="Q94" s="44" t="n">
        <x:v>12.670114</x:v>
      </x:c>
      <x:c r="R94" s="29" t="str">
        <x:v>S9</x:v>
      </x:c>
      <x:c r="S94" s="29" t="n">
        <x:v>32</x:v>
      </x:c>
      <x:c r="T94" s="29" t="n">
        <x:v>57</x:v>
      </x:c>
    </x:row>
    <x:row r="95">
      <x:c r="A95" s="29" t="n">
        <x:v>94</x:v>
      </x:c>
      <x:c r="B95" s="29" t="str">
        <x:v>Tm</x:v>
      </x:c>
      <x:c r="C95" s="29" t="str">
        <x:v>P2-APEI</x:v>
      </x:c>
      <x:c r="D95" s="29" t="str">
        <x:v>Phosphorylated</x:v>
      </x:c>
      <x:c r="E95" s="29" t="str">
        <x:v>Single</x:v>
      </x:c>
      <x:c r="F95" s="29" t="n">
        <x:v>1</x:v>
      </x:c>
      <x:c r="G95" s="29" t="str">
        <x:v>Sorption isotherm</x:v>
      </x:c>
      <x:c r="H95" s="40" t="n">
        <x:v>5</x:v>
      </x:c>
      <x:c r="I95" s="42" t="n">
        <x:v>2880</x:v>
      </x:c>
      <x:c r="J95" s="44" t="n">
        <x:v>19.679828</x:v>
      </x:c>
      <x:c r="K95" s="40" t="n">
        <x:v>0.116494</x:v>
      </x:c>
      <x:c r="L95" s="40" t="n">
        <x:v>0.041494</x:v>
      </x:c>
      <x:c r="M95" s="40"/>
      <x:c r="N95" s="40" t="n">
        <x:v>0.5</x:v>
      </x:c>
      <x:c r="O95" s="46" t="n">
        <x:v>22</x:v>
      </x:c>
      <x:c r="P95" s="40" t="n">
        <x:v>0.15</x:v>
      </x:c>
      <x:c r="Q95" s="44" t="n">
        <x:v>25.340185</x:v>
      </x:c>
      <x:c r="R95" s="29" t="str">
        <x:v>S9</x:v>
      </x:c>
      <x:c r="S95" s="29" t="n">
        <x:v>32</x:v>
      </x:c>
      <x:c r="T95" s="29" t="n">
        <x:v>58</x:v>
      </x:c>
    </x:row>
    <x:row r="96">
      <x:c r="A96" s="29" t="n">
        <x:v>95</x:v>
      </x:c>
      <x:c r="B96" s="29" t="str">
        <x:v>Tm</x:v>
      </x:c>
      <x:c r="C96" s="29" t="str">
        <x:v>P2-APEI</x:v>
      </x:c>
      <x:c r="D96" s="29" t="str">
        <x:v>Phosphorylated</x:v>
      </x:c>
      <x:c r="E96" s="29" t="str">
        <x:v>Single</x:v>
      </x:c>
      <x:c r="F96" s="29" t="n">
        <x:v>1</x:v>
      </x:c>
      <x:c r="G96" s="29" t="str">
        <x:v>Sorption isotherm</x:v>
      </x:c>
      <x:c r="H96" s="40" t="n">
        <x:v>5</x:v>
      </x:c>
      <x:c r="I96" s="42" t="n">
        <x:v>2880</x:v>
      </x:c>
      <x:c r="J96" s="44" t="n">
        <x:v>50.921262</x:v>
      </x:c>
      <x:c r="K96" s="40" t="n">
        <x:v>0.301427</x:v>
      </x:c>
      <x:c r="L96" s="40" t="n">
        <x:v>0.157676</x:v>
      </x:c>
      <x:c r="M96" s="40"/>
      <x:c r="N96" s="40" t="n">
        <x:v>0.5</x:v>
      </x:c>
      <x:c r="O96" s="46" t="n">
        <x:v>22</x:v>
      </x:c>
      <x:c r="P96" s="40" t="n">
        <x:v>0.2875</x:v>
      </x:c>
      <x:c r="Q96" s="44" t="n">
        <x:v>48.568654</x:v>
      </x:c>
      <x:c r="R96" s="29" t="str">
        <x:v>S9</x:v>
      </x:c>
      <x:c r="S96" s="29" t="n">
        <x:v>32</x:v>
      </x:c>
      <x:c r="T96" s="29" t="n">
        <x:v>59</x:v>
      </x:c>
    </x:row>
    <x:row r="97">
      <x:c r="A97" s="29" t="n">
        <x:v>96</x:v>
      </x:c>
      <x:c r="B97" s="29" t="str">
        <x:v>Tm</x:v>
      </x:c>
      <x:c r="C97" s="29" t="str">
        <x:v>P2-APEI</x:v>
      </x:c>
      <x:c r="D97" s="29" t="str">
        <x:v>Phosphorylated</x:v>
      </x:c>
      <x:c r="E97" s="29" t="str">
        <x:v>Single</x:v>
      </x:c>
      <x:c r="F97" s="29" t="n">
        <x:v>1</x:v>
      </x:c>
      <x:c r="G97" s="29" t="str">
        <x:v>Sorption isotherm</x:v>
      </x:c>
      <x:c r="H97" s="40" t="n">
        <x:v>5</x:v>
      </x:c>
      <x:c r="I97" s="42" t="n">
        <x:v>2880</x:v>
      </x:c>
      <x:c r="J97" s="44" t="n">
        <x:v>101.277765</x:v>
      </x:c>
      <x:c r="K97" s="40" t="n">
        <x:v>0.59951</x:v>
      </x:c>
      <x:c r="L97" s="40" t="n">
        <x:v>0.365145</x:v>
      </x:c>
      <x:c r="M97" s="40"/>
      <x:c r="N97" s="40" t="n">
        <x:v>0.5</x:v>
      </x:c>
      <x:c r="O97" s="46" t="n">
        <x:v>22</x:v>
      </x:c>
      <x:c r="P97" s="40" t="n">
        <x:v>0.468729</x:v>
      </x:c>
      <x:c r="Q97" s="44" t="n">
        <x:v>79.184438</x:v>
      </x:c>
      <x:c r="R97" s="29" t="str">
        <x:v>S9</x:v>
      </x:c>
      <x:c r="S97" s="29" t="n">
        <x:v>32</x:v>
      </x:c>
      <x:c r="T97" s="29" t="n">
        <x:v>60</x:v>
      </x:c>
    </x:row>
    <x:row r="98">
      <x:c r="A98" s="29" t="n">
        <x:v>97</x:v>
      </x:c>
      <x:c r="B98" s="29" t="str">
        <x:v>Tm</x:v>
      </x:c>
      <x:c r="C98" s="29" t="str">
        <x:v>P2-APEI</x:v>
      </x:c>
      <x:c r="D98" s="29" t="str">
        <x:v>Phosphorylated</x:v>
      </x:c>
      <x:c r="E98" s="29" t="str">
        <x:v>Single</x:v>
      </x:c>
      <x:c r="F98" s="29" t="n">
        <x:v>1</x:v>
      </x:c>
      <x:c r="G98" s="29" t="str">
        <x:v>Sorption isotherm</x:v>
      </x:c>
      <x:c r="H98" s="40" t="n">
        <x:v>5</x:v>
      </x:c>
      <x:c r="I98" s="42" t="n">
        <x:v>2880</x:v>
      </x:c>
      <x:c r="J98" s="44" t="n">
        <x:v>151.634232</x:v>
      </x:c>
      <x:c r="K98" s="40" t="n">
        <x:v>0.897593</x:v>
      </x:c>
      <x:c r="L98" s="40" t="n">
        <x:v>0.572614</x:v>
      </x:c>
      <x:c r="M98" s="40"/>
      <x:c r="N98" s="40" t="n">
        <x:v>0.5</x:v>
      </x:c>
      <x:c r="O98" s="46" t="n">
        <x:v>22</x:v>
      </x:c>
      <x:c r="P98" s="40" t="n">
        <x:v>0.649958</x:v>
      </x:c>
      <x:c r="Q98" s="44" t="n">
        <x:v>109.800221</x:v>
      </x:c>
      <x:c r="R98" s="29" t="str">
        <x:v>S9</x:v>
      </x:c>
      <x:c r="S98" s="29" t="n">
        <x:v>32</x:v>
      </x:c>
      <x:c r="T98" s="29" t="n">
        <x:v>61</x:v>
      </x:c>
    </x:row>
    <x:row r="99">
      <x:c r="A99" s="29" t="n">
        <x:v>98</x:v>
      </x:c>
      <x:c r="B99" s="29" t="str">
        <x:v>Tm</x:v>
      </x:c>
      <x:c r="C99" s="29" t="str">
        <x:v>P2-APEI</x:v>
      </x:c>
      <x:c r="D99" s="29" t="str">
        <x:v>Phosphorylated</x:v>
      </x:c>
      <x:c r="E99" s="29" t="str">
        <x:v>Single</x:v>
      </x:c>
      <x:c r="F99" s="29" t="n">
        <x:v>1</x:v>
      </x:c>
      <x:c r="G99" s="29" t="str">
        <x:v>Sorption isotherm</x:v>
      </x:c>
      <x:c r="H99" s="40" t="n">
        <x:v>5</x:v>
      </x:c>
      <x:c r="I99" s="42" t="n">
        <x:v>2880</x:v>
      </x:c>
      <x:c r="J99" s="44" t="n">
        <x:v>197.405513</x:v>
      </x:c>
      <x:c r="K99" s="40" t="n">
        <x:v>1.168535</x:v>
      </x:c>
      <x:c r="L99" s="40" t="n">
        <x:v>0.796681</x:v>
      </x:c>
      <x:c r="M99" s="40"/>
      <x:c r="N99" s="40" t="n">
        <x:v>0.5</x:v>
      </x:c>
      <x:c r="O99" s="46" t="n">
        <x:v>22</x:v>
      </x:c>
      <x:c r="P99" s="40" t="n">
        <x:v>0.743708</x:v>
      </x:c>
      <x:c r="Q99" s="44" t="n">
        <x:v>125.637809</x:v>
      </x:c>
      <x:c r="R99" s="29" t="str">
        <x:v>S9</x:v>
      </x:c>
      <x:c r="S99" s="29" t="n">
        <x:v>32</x:v>
      </x:c>
      <x:c r="T99" s="29" t="n">
        <x:v>62</x:v>
      </x:c>
    </x:row>
    <x:row r="100">
      <x:c r="A100" s="29" t="n">
        <x:v>99</x:v>
      </x:c>
      <x:c r="B100" s="29" t="str">
        <x:v>Tm</x:v>
      </x:c>
      <x:c r="C100" s="29" t="str">
        <x:v>P2-APEI</x:v>
      </x:c>
      <x:c r="D100" s="29" t="str">
        <x:v>Phosphorylated</x:v>
      </x:c>
      <x:c r="E100" s="29" t="str">
        <x:v>Single</x:v>
      </x:c>
      <x:c r="F100" s="29" t="n">
        <x:v>1</x:v>
      </x:c>
      <x:c r="G100" s="29" t="str">
        <x:v>Sorption isotherm</x:v>
      </x:c>
      <x:c r="H100" s="40" t="n">
        <x:v>5</x:v>
      </x:c>
      <x:c r="I100" s="42" t="n">
        <x:v>2880</x:v>
      </x:c>
      <x:c r="J100" s="44" t="n">
        <x:v>297.705831</x:v>
      </x:c>
      <x:c r="K100" s="40" t="n">
        <x:v>1.762259</x:v>
      </x:c>
      <x:c r="L100" s="40" t="n">
        <x:v>1.302905</x:v>
      </x:c>
      <x:c r="M100" s="40"/>
      <x:c r="N100" s="40" t="n">
        <x:v>0.5</x:v>
      </x:c>
      <x:c r="O100" s="46" t="n">
        <x:v>22</x:v>
      </x:c>
      <x:c r="P100" s="40" t="n">
        <x:v>0.918708</x:v>
      </x:c>
      <x:c r="Q100" s="44" t="n">
        <x:v>155.201292</x:v>
      </x:c>
      <x:c r="R100" s="29" t="str">
        <x:v>S9</x:v>
      </x:c>
      <x:c r="S100" s="29" t="n">
        <x:v>32</x:v>
      </x:c>
      <x:c r="T100" s="29" t="n">
        <x:v>63</x:v>
      </x:c>
    </x:row>
    <x:row r="101">
      <x:c r="A101" s="29" t="n">
        <x:v>100</x:v>
      </x:c>
      <x:c r="B101" s="29" t="str">
        <x:v>Tm</x:v>
      </x:c>
      <x:c r="C101" s="29" t="str">
        <x:v>P2-APEI</x:v>
      </x:c>
      <x:c r="D101" s="29" t="str">
        <x:v>Phosphorylated</x:v>
      </x:c>
      <x:c r="E101" s="29" t="str">
        <x:v>Single</x:v>
      </x:c>
      <x:c r="F101" s="29" t="n">
        <x:v>1</x:v>
      </x:c>
      <x:c r="G101" s="29" t="str">
        <x:v>Sorption isotherm</x:v>
      </x:c>
      <x:c r="H101" s="40" t="n">
        <x:v>5</x:v>
      </x:c>
      <x:c r="I101" s="42" t="n">
        <x:v>2880</x:v>
      </x:c>
      <x:c r="J101" s="44" t="n">
        <x:v>348.210827</x:v>
      </x:c>
      <x:c r="K101" s="40" t="n">
        <x:v>2.061221</x:v>
      </x:c>
      <x:c r="L101" s="40" t="n">
        <x:v>1.551867</x:v>
      </x:c>
      <x:c r="M101" s="40"/>
      <x:c r="N101" s="40" t="n">
        <x:v>0.5</x:v>
      </x:c>
      <x:c r="O101" s="46" t="n">
        <x:v>22</x:v>
      </x:c>
      <x:c r="P101" s="40" t="n">
        <x:v>1.018708</x:v>
      </x:c>
      <x:c r="Q101" s="44" t="n">
        <x:v>172.094693</x:v>
      </x:c>
      <x:c r="R101" s="29" t="str">
        <x:v>S9</x:v>
      </x:c>
      <x:c r="S101" s="29" t="n">
        <x:v>32</x:v>
      </x:c>
      <x:c r="T101" s="29" t="n">
        <x:v>64</x:v>
      </x:c>
    </x:row>
    <x:row r="102">
      <x:c r="A102" s="29" t="n">
        <x:v>101</x:v>
      </x:c>
      <x:c r="B102" s="29" t="str">
        <x:v>Tm</x:v>
      </x:c>
      <x:c r="C102" s="29" t="str">
        <x:v>P2-APEI</x:v>
      </x:c>
      <x:c r="D102" s="29" t="str">
        <x:v>Phosphorylated</x:v>
      </x:c>
      <x:c r="E102" s="29" t="str">
        <x:v>Single</x:v>
      </x:c>
      <x:c r="F102" s="29" t="n">
        <x:v>1</x:v>
      </x:c>
      <x:c r="G102" s="29" t="str">
        <x:v>Sorption isotherm</x:v>
      </x:c>
      <x:c r="H102" s="40" t="n">
        <x:v>5</x:v>
      </x:c>
      <x:c r="I102" s="42" t="n">
        <x:v>2880</x:v>
      </x:c>
      <x:c r="J102" s="44" t="n">
        <x:v>453.391631</x:v>
      </x:c>
      <x:c r="K102" s="40" t="n">
        <x:v>2.683835</x:v>
      </x:c>
      <x:c r="L102" s="40" t="n">
        <x:v>2.124481</x:v>
      </x:c>
      <x:c r="M102" s="40"/>
      <x:c r="N102" s="40" t="n">
        <x:v>0.5</x:v>
      </x:c>
      <x:c r="O102" s="46" t="n">
        <x:v>22</x:v>
      </x:c>
      <x:c r="P102" s="40" t="n">
        <x:v>1.118708</x:v>
      </x:c>
      <x:c r="Q102" s="44" t="n">
        <x:v>188.988116</x:v>
      </x:c>
      <x:c r="R102" s="29" t="str">
        <x:v>S9</x:v>
      </x:c>
      <x:c r="S102" s="29" t="n">
        <x:v>32</x:v>
      </x:c>
      <x:c r="T102" s="29" t="n">
        <x:v>65</x:v>
      </x:c>
    </x:row>
    <x:row r="103">
      <x:c r="A103" s="29" t="n">
        <x:v>102</x:v>
      </x:c>
      <x:c r="B103" s="29" t="str">
        <x:v>Tm</x:v>
      </x:c>
      <x:c r="C103" s="29" t="str">
        <x:v>P2-APEI</x:v>
      </x:c>
      <x:c r="D103" s="29" t="str">
        <x:v>Phosphorylated</x:v>
      </x:c>
      <x:c r="E103" s="29" t="str">
        <x:v>Single</x:v>
      </x:c>
      <x:c r="F103" s="29" t="n">
        <x:v>1</x:v>
      </x:c>
      <x:c r="G103" s="29" t="str">
        <x:v>Sorption isotherm</x:v>
      </x:c>
      <x:c r="H103" s="40" t="n">
        <x:v>5</x:v>
      </x:c>
      <x:c r="I103" s="42" t="n">
        <x:v>2880</x:v>
      </x:c>
      <x:c r="J103" s="44" t="n">
        <x:v>488.094115</x:v>
      </x:c>
      <x:c r="K103" s="40" t="n">
        <x:v>2.889255</x:v>
      </x:c>
      <x:c r="L103" s="40" t="n">
        <x:v>2.323651</x:v>
      </x:c>
      <x:c r="M103" s="40"/>
      <x:c r="N103" s="40" t="n">
        <x:v>0.5</x:v>
      </x:c>
      <x:c r="O103" s="46" t="n">
        <x:v>22</x:v>
      </x:c>
      <x:c r="P103" s="40" t="n">
        <x:v>1.131208</x:v>
      </x:c>
      <x:c r="Q103" s="44" t="n">
        <x:v>191.099787</x:v>
      </x:c>
      <x:c r="R103" s="29" t="str">
        <x:v>S9</x:v>
      </x:c>
      <x:c r="S103" s="29" t="n">
        <x:v>32</x:v>
      </x:c>
      <x:c r="T103" s="29" t="n">
        <x:v>66</x:v>
      </x:c>
    </x:row>
    <x:row r="104">
      <x:c r="A104" s="29" t="n">
        <x:v>103</x:v>
      </x:c>
      <x:c r="B104" s="29" t="str">
        <x:v>Tm</x:v>
      </x:c>
      <x:c r="C104" s="29" t="str">
        <x:v>P2-APEI</x:v>
      </x:c>
      <x:c r="D104" s="29" t="str">
        <x:v>Phosphorylated</x:v>
      </x:c>
      <x:c r="E104" s="29" t="str">
        <x:v>Single</x:v>
      </x:c>
      <x:c r="F104" s="29" t="n">
        <x:v>2</x:v>
      </x:c>
      <x:c r="G104" s="29" t="str">
        <x:v>Sorption isotherm</x:v>
      </x:c>
      <x:c r="H104" s="40" t="n">
        <x:v>5</x:v>
      </x:c>
      <x:c r="I104" s="42" t="n">
        <x:v>2880</x:v>
      </x:c>
      <x:c r="J104" s="44" t="n">
        <x:v>10.012985</x:v>
      </x:c>
      <x:c r="K104" s="40" t="n">
        <x:v>0.059272</x:v>
      </x:c>
      <x:c r="L104" s="40" t="n">
        <x:v>0.024896</x:v>
      </x:c>
      <x:c r="M104" s="40"/>
      <x:c r="N104" s="40" t="n">
        <x:v>0.5</x:v>
      </x:c>
      <x:c r="O104" s="46" t="n">
        <x:v>22</x:v>
      </x:c>
      <x:c r="P104" s="40" t="n">
        <x:v>0.06875</x:v>
      </x:c>
      <x:c r="Q104" s="44" t="n">
        <x:v>11.614279</x:v>
      </x:c>
      <x:c r="R104" s="29" t="str">
        <x:v>S9</x:v>
      </x:c>
      <x:c r="S104" s="29" t="n">
        <x:v>32</x:v>
      </x:c>
      <x:c r="T104" s="29" t="n">
        <x:v>68</x:v>
      </x:c>
    </x:row>
    <x:row r="105">
      <x:c r="A105" s="29" t="n">
        <x:v>104</x:v>
      </x:c>
      <x:c r="B105" s="29" t="str">
        <x:v>Tm</x:v>
      </x:c>
      <x:c r="C105" s="29" t="str">
        <x:v>P2-APEI</x:v>
      </x:c>
      <x:c r="D105" s="29" t="str">
        <x:v>Phosphorylated</x:v>
      </x:c>
      <x:c r="E105" s="29" t="str">
        <x:v>Single</x:v>
      </x:c>
      <x:c r="F105" s="29" t="n">
        <x:v>2</x:v>
      </x:c>
      <x:c r="G105" s="29" t="str">
        <x:v>Sorption isotherm</x:v>
      </x:c>
      <x:c r="H105" s="40" t="n">
        <x:v>5</x:v>
      </x:c>
      <x:c r="I105" s="42" t="n">
        <x:v>2880</x:v>
      </x:c>
      <x:c r="J105" s="44" t="n">
        <x:v>22.137623</x:v>
      </x:c>
      <x:c r="K105" s="40" t="n">
        <x:v>0.131043</x:v>
      </x:c>
      <x:c r="L105" s="40" t="n">
        <x:v>0.049793</x:v>
      </x:c>
      <x:c r="M105" s="40"/>
      <x:c r="N105" s="40" t="n">
        <x:v>0.5</x:v>
      </x:c>
      <x:c r="O105" s="46" t="n">
        <x:v>22</x:v>
      </x:c>
      <x:c r="P105" s="40" t="n">
        <x:v>0.1625</x:v>
      </x:c>
      <x:c r="Q105" s="44" t="n">
        <x:v>27.451878</x:v>
      </x:c>
      <x:c r="R105" s="29" t="str">
        <x:v>S9</x:v>
      </x:c>
      <x:c r="S105" s="29" t="n">
        <x:v>32</x:v>
      </x:c>
      <x:c r="T105" s="29" t="n">
        <x:v>69</x:v>
      </x:c>
    </x:row>
    <x:row r="106">
      <x:c r="A106" s="29" t="n">
        <x:v>105</x:v>
      </x:c>
      <x:c r="B106" s="29" t="str">
        <x:v>Tm</x:v>
      </x:c>
      <x:c r="C106" s="29" t="str">
        <x:v>P2-APEI</x:v>
      </x:c>
      <x:c r="D106" s="29" t="str">
        <x:v>Phosphorylated</x:v>
      </x:c>
      <x:c r="E106" s="29" t="str">
        <x:v>Single</x:v>
      </x:c>
      <x:c r="F106" s="29" t="n">
        <x:v>2</x:v>
      </x:c>
      <x:c r="G106" s="29" t="str">
        <x:v>Sorption isotherm</x:v>
      </x:c>
      <x:c r="H106" s="40" t="n">
        <x:v>5</x:v>
      </x:c>
      <x:c r="I106" s="42" t="n">
        <x:v>2880</x:v>
      </x:c>
      <x:c r="J106" s="44" t="n">
        <x:v>49.701133</x:v>
      </x:c>
      <x:c r="K106" s="40" t="n">
        <x:v>0.294204</x:v>
      </x:c>
      <x:c r="L106" s="40" t="n">
        <x:v>0.141079</x:v>
      </x:c>
      <x:c r="M106" s="40"/>
      <x:c r="N106" s="40" t="n">
        <x:v>0.5</x:v>
      </x:c>
      <x:c r="O106" s="46" t="n">
        <x:v>22</x:v>
      </x:c>
      <x:c r="P106" s="40" t="n">
        <x:v>0.30625</x:v>
      </x:c>
      <x:c r="Q106" s="44" t="n">
        <x:v>51.73616</x:v>
      </x:c>
      <x:c r="R106" s="29" t="str">
        <x:v>S9</x:v>
      </x:c>
      <x:c r="S106" s="29" t="n">
        <x:v>32</x:v>
      </x:c>
      <x:c r="T106" s="29" t="n">
        <x:v>70</x:v>
      </x:c>
    </x:row>
    <x:row r="107">
      <x:c r="A107" s="29" t="n">
        <x:v>106</x:v>
      </x:c>
      <x:c r="B107" s="29" t="str">
        <x:v>Tm</x:v>
      </x:c>
      <x:c r="C107" s="29" t="str">
        <x:v>P2-APEI</x:v>
      </x:c>
      <x:c r="D107" s="29" t="str">
        <x:v>Phosphorylated</x:v>
      </x:c>
      <x:c r="E107" s="29" t="str">
        <x:v>Single</x:v>
      </x:c>
      <x:c r="F107" s="29" t="n">
        <x:v>2</x:v>
      </x:c>
      <x:c r="G107" s="29" t="str">
        <x:v>Sorption isotherm</x:v>
      </x:c>
      <x:c r="H107" s="40" t="n">
        <x:v>5</x:v>
      </x:c>
      <x:c r="I107" s="42" t="n">
        <x:v>2880</x:v>
      </x:c>
      <x:c r="J107" s="44" t="n">
        <x:v>101.805689</x:v>
      </x:c>
      <x:c r="K107" s="40" t="n">
        <x:v>0.602635</x:v>
      </x:c>
      <x:c r="L107" s="40" t="n">
        <x:v>0.365145</x:v>
      </x:c>
      <x:c r="M107" s="40"/>
      <x:c r="N107" s="40" t="n">
        <x:v>0.5</x:v>
      </x:c>
      <x:c r="O107" s="46" t="n">
        <x:v>22</x:v>
      </x:c>
      <x:c r="P107" s="40" t="n">
        <x:v>0.474979</x:v>
      </x:c>
      <x:c r="Q107" s="44" t="n">
        <x:v>80.240284</x:v>
      </x:c>
      <x:c r="R107" s="29" t="str">
        <x:v>S9</x:v>
      </x:c>
      <x:c r="S107" s="29" t="n">
        <x:v>32</x:v>
      </x:c>
      <x:c r="T107" s="29" t="n">
        <x:v>71</x:v>
      </x:c>
    </x:row>
    <x:row r="108">
      <x:c r="A108" s="29" t="n">
        <x:v>107</x:v>
      </x:c>
      <x:c r="B108" s="29" t="str">
        <x:v>Tm</x:v>
      </x:c>
      <x:c r="C108" s="29" t="str">
        <x:v>P2-APEI</x:v>
      </x:c>
      <x:c r="D108" s="29" t="str">
        <x:v>Phosphorylated</x:v>
      </x:c>
      <x:c r="E108" s="29" t="str">
        <x:v>Single</x:v>
      </x:c>
      <x:c r="F108" s="29" t="n">
        <x:v>2</x:v>
      </x:c>
      <x:c r="G108" s="29" t="str">
        <x:v>Sorption isotherm</x:v>
      </x:c>
      <x:c r="H108" s="40" t="n">
        <x:v>5</x:v>
      </x:c>
      <x:c r="I108" s="42" t="n">
        <x:v>2880</x:v>
      </x:c>
      <x:c r="J108" s="44" t="n">
        <x:v>148.994638</x:v>
      </x:c>
      <x:c r="K108" s="40" t="n">
        <x:v>0.881968</x:v>
      </x:c>
      <x:c r="L108" s="40" t="n">
        <x:v>0.572614</x:v>
      </x:c>
      <x:c r="M108" s="40"/>
      <x:c r="N108" s="40" t="n">
        <x:v>0.5</x:v>
      </x:c>
      <x:c r="O108" s="46" t="n">
        <x:v>22</x:v>
      </x:c>
      <x:c r="P108" s="40" t="n">
        <x:v>0.618708</x:v>
      </x:c>
      <x:c r="Q108" s="44" t="n">
        <x:v>104.521033</x:v>
      </x:c>
      <x:c r="R108" s="29" t="str">
        <x:v>S9</x:v>
      </x:c>
      <x:c r="S108" s="29" t="n">
        <x:v>32</x:v>
      </x:c>
      <x:c r="T108" s="29" t="n">
        <x:v>72</x:v>
      </x:c>
    </x:row>
    <x:row r="109">
      <x:c r="A109" s="29" t="n">
        <x:v>108</x:v>
      </x:c>
      <x:c r="B109" s="29" t="str">
        <x:v>Tm</x:v>
      </x:c>
      <x:c r="C109" s="29" t="str">
        <x:v>P2-APEI</x:v>
      </x:c>
      <x:c r="D109" s="29" t="str">
        <x:v>Phosphorylated</x:v>
      </x:c>
      <x:c r="E109" s="29" t="str">
        <x:v>Single</x:v>
      </x:c>
      <x:c r="F109" s="29" t="n">
        <x:v>2</x:v>
      </x:c>
      <x:c r="G109" s="29" t="str">
        <x:v>Sorption isotherm</x:v>
      </x:c>
      <x:c r="H109" s="40" t="n">
        <x:v>5</x:v>
      </x:c>
      <x:c r="I109" s="42" t="n">
        <x:v>2880</x:v>
      </x:c>
      <x:c r="J109" s="44" t="n">
        <x:v>201.447054</x:v>
      </x:c>
      <x:c r="K109" s="40" t="n">
        <x:v>1.192459</x:v>
      </x:c>
      <x:c r="L109" s="40" t="n">
        <x:v>0.804979</x:v>
      </x:c>
      <x:c r="M109" s="40"/>
      <x:c r="N109" s="40" t="n">
        <x:v>0.5</x:v>
      </x:c>
      <x:c r="O109" s="46" t="n">
        <x:v>22</x:v>
      </x:c>
      <x:c r="P109" s="40" t="n">
        <x:v>0.774958</x:v>
      </x:c>
      <x:c r="Q109" s="44" t="n">
        <x:v>130.917009</x:v>
      </x:c>
      <x:c r="R109" s="29" t="str">
        <x:v>S9</x:v>
      </x:c>
      <x:c r="S109" s="29" t="n">
        <x:v>32</x:v>
      </x:c>
      <x:c r="T109" s="29" t="n">
        <x:v>73</x:v>
      </x:c>
    </x:row>
    <x:row r="110">
      <x:c r="A110" s="29" t="n">
        <x:v>109</x:v>
      </x:c>
      <x:c r="B110" s="29" t="str">
        <x:v>Tm</x:v>
      </x:c>
      <x:c r="C110" s="29" t="str">
        <x:v>P2-APEI</x:v>
      </x:c>
      <x:c r="D110" s="29" t="str">
        <x:v>Phosphorylated</x:v>
      </x:c>
      <x:c r="E110" s="29" t="str">
        <x:v>Single</x:v>
      </x:c>
      <x:c r="F110" s="29" t="n">
        <x:v>2</x:v>
      </x:c>
      <x:c r="G110" s="29" t="str">
        <x:v>Sorption isotherm</x:v>
      </x:c>
      <x:c r="H110" s="40" t="n">
        <x:v>5</x:v>
      </x:c>
      <x:c r="I110" s="42" t="n">
        <x:v>2880</x:v>
      </x:c>
      <x:c r="J110" s="44" t="n">
        <x:v>298.94346</x:v>
      </x:c>
      <x:c r="K110" s="40" t="n">
        <x:v>1.769585</x:v>
      </x:c>
      <x:c r="L110" s="40" t="n">
        <x:v>1.294606</x:v>
      </x:c>
      <x:c r="M110" s="40"/>
      <x:c r="N110" s="40" t="n">
        <x:v>0.5</x:v>
      </x:c>
      <x:c r="O110" s="46" t="n">
        <x:v>22</x:v>
      </x:c>
      <x:c r="P110" s="40" t="n">
        <x:v>0.949958</x:v>
      </x:c>
      <x:c r="Q110" s="44" t="n">
        <x:v>160.480491</x:v>
      </x:c>
      <x:c r="R110" s="29" t="str">
        <x:v>S9</x:v>
      </x:c>
      <x:c r="S110" s="29" t="n">
        <x:v>32</x:v>
      </x:c>
      <x:c r="T110" s="29" t="n">
        <x:v>74</x:v>
      </x:c>
    </x:row>
    <x:row r="111">
      <x:c r="A111" s="29" t="n">
        <x:v>110</x:v>
      </x:c>
      <x:c r="B111" s="29" t="str">
        <x:v>Tm</x:v>
      </x:c>
      <x:c r="C111" s="29" t="str">
        <x:v>P2-APEI</x:v>
      </x:c>
      <x:c r="D111" s="29" t="str">
        <x:v>Phosphorylated</x:v>
      </x:c>
      <x:c r="E111" s="29" t="str">
        <x:v>Single</x:v>
      </x:c>
      <x:c r="F111" s="29" t="n">
        <x:v>2</x:v>
      </x:c>
      <x:c r="G111" s="29" t="str">
        <x:v>Sorption isotherm</x:v>
      </x:c>
      <x:c r="H111" s="40" t="n">
        <x:v>5</x:v>
      </x:c>
      <x:c r="I111" s="42" t="n">
        <x:v>2880</x:v>
      </x:c>
      <x:c r="J111" s="44" t="n">
        <x:v>351.906263</x:v>
      </x:c>
      <x:c r="K111" s="40" t="n">
        <x:v>2.083096</x:v>
      </x:c>
      <x:c r="L111" s="40" t="n">
        <x:v>1.551867</x:v>
      </x:c>
      <x:c r="M111" s="40"/>
      <x:c r="N111" s="40" t="n">
        <x:v>0.5</x:v>
      </x:c>
      <x:c r="O111" s="46" t="n">
        <x:v>22</x:v>
      </x:c>
      <x:c r="P111" s="40" t="n">
        <x:v>1.062458</x:v>
      </x:c>
      <x:c r="Q111" s="44" t="n">
        <x:v>179.485563</x:v>
      </x:c>
      <x:c r="R111" s="29" t="str">
        <x:v>S9</x:v>
      </x:c>
      <x:c r="S111" s="29" t="n">
        <x:v>32</x:v>
      </x:c>
      <x:c r="T111" s="29" t="n">
        <x:v>75</x:v>
      </x:c>
    </x:row>
    <x:row r="112">
      <x:c r="A112" s="29" t="n">
        <x:v>111</x:v>
      </x:c>
      <x:c r="B112" s="29" t="str">
        <x:v>Tm</x:v>
      </x:c>
      <x:c r="C112" s="29" t="str">
        <x:v>P2-APEI</x:v>
      </x:c>
      <x:c r="D112" s="29" t="str">
        <x:v>Phosphorylated</x:v>
      </x:c>
      <x:c r="E112" s="29" t="str">
        <x:v>Single</x:v>
      </x:c>
      <x:c r="F112" s="29" t="n">
        <x:v>2</x:v>
      </x:c>
      <x:c r="G112" s="29" t="str">
        <x:v>Sorption isotherm</x:v>
      </x:c>
      <x:c r="H112" s="40" t="n">
        <x:v>5</x:v>
      </x:c>
      <x:c r="I112" s="42" t="n">
        <x:v>2880</x:v>
      </x:c>
      <x:c r="J112" s="44" t="n">
        <x:v>448.329313</x:v>
      </x:c>
      <x:c r="K112" s="40" t="n">
        <x:v>2.653869</x:v>
      </x:c>
      <x:c r="L112" s="40" t="n">
        <x:v>2.06639</x:v>
      </x:c>
      <x:c r="M112" s="40"/>
      <x:c r="N112" s="40" t="n">
        <x:v>0.5</x:v>
      </x:c>
      <x:c r="O112" s="46" t="n">
        <x:v>22</x:v>
      </x:c>
      <x:c r="P112" s="40" t="n">
        <x:v>1.174958</x:v>
      </x:c>
      <x:c r="Q112" s="44" t="n">
        <x:v>198.490657</x:v>
      </x:c>
      <x:c r="R112" s="29" t="str">
        <x:v>S9</x:v>
      </x:c>
      <x:c r="S112" s="29" t="n">
        <x:v>32</x:v>
      </x:c>
      <x:c r="T112" s="29" t="n">
        <x:v>76</x:v>
      </x:c>
    </x:row>
    <x:row r="113">
      <x:c r="A113" s="29" t="n">
        <x:v>112</x:v>
      </x:c>
      <x:c r="B113" s="29" t="str">
        <x:v>Tm</x:v>
      </x:c>
      <x:c r="C113" s="29" t="str">
        <x:v>P2-APEI</x:v>
      </x:c>
      <x:c r="D113" s="29" t="str">
        <x:v>Phosphorylated</x:v>
      </x:c>
      <x:c r="E113" s="29" t="str">
        <x:v>Single</x:v>
      </x:c>
      <x:c r="F113" s="29" t="n">
        <x:v>2</x:v>
      </x:c>
      <x:c r="G113" s="29" t="str">
        <x:v>Sorption isotherm</x:v>
      </x:c>
      <x:c r="H113" s="40" t="n">
        <x:v>5</x:v>
      </x:c>
      <x:c r="I113" s="42" t="n">
        <x:v>2880</x:v>
      </x:c>
      <x:c r="J113" s="44" t="n">
        <x:v>513.364175</x:v>
      </x:c>
      <x:c r="K113" s="40" t="n">
        <x:v>3.038841</x:v>
      </x:c>
      <x:c r="L113" s="40" t="n">
        <x:v>2.423237</x:v>
      </x:c>
      <x:c r="M113" s="40"/>
      <x:c r="N113" s="40" t="n">
        <x:v>0.5</x:v>
      </x:c>
      <x:c r="O113" s="46" t="n">
        <x:v>22</x:v>
      </x:c>
      <x:c r="P113" s="40" t="n">
        <x:v>1.231208</x:v>
      </x:c>
      <x:c r="Q113" s="44" t="n">
        <x:v>207.993199</x:v>
      </x:c>
      <x:c r="R113" s="29" t="str">
        <x:v>S9</x:v>
      </x:c>
      <x:c r="S113" s="29" t="n">
        <x:v>32</x:v>
      </x:c>
      <x:c r="T113" s="29" t="n">
        <x:v>77</x:v>
      </x:c>
    </x:row>
  </x:sheetData>
  <x:pageMargins left="0.7" right="0.7" top="0.75" bottom="0.75" header="0.3" footer="0.3"/>
  <x:tableParts count="1">
    <x:tablePart xmlns:r="http://schemas.openxmlformats.org/officeDocument/2006/relationships" r:id="Rf07c06d60d3a469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0" hidden="0" customWidth="1"/>
    <x:col min="19" max="19" width="20" hidden="0" customWidth="1"/>
    <x:col min="20" max="20" width="14" hidden="0" customWidth="1"/>
    <x:col min="21" max="21" width="20" hidden="0" customWidth="1"/>
  </x:cols>
  <x:sheetData>
    <x:row r="1">
      <x:c r="A1" s="53" t="str">
        <x:v>Metal</x:v>
      </x:c>
      <x:c r="B1" s="53" t="str">
        <x:v>Adsorbent</x:v>
      </x:c>
      <x:c r="C1" s="53" t="str">
        <x:v>Functionalization</x:v>
      </x:c>
      <x:c r="D1" s="53" t="str">
        <x:v>System</x:v>
      </x:c>
      <x:c r="E1" s="53" t="str">
        <x:v>Replicate</x:v>
      </x:c>
      <x:c r="F1" s="53" t="str">
        <x:v>Experiment</x:v>
      </x:c>
      <x:c r="G1" s="53" t="str">
        <x:v>pH0</x:v>
      </x:c>
      <x:c r="H1" s="53" t="str">
        <x:v>Contact_Time_min</x:v>
      </x:c>
      <x:c r="I1" s="53" t="str">
        <x:v>C0_mg_L</x:v>
      </x:c>
      <x:c r="J1" s="53" t="str">
        <x:v>C0_mmol_L</x:v>
      </x:c>
      <x:c r="K1" s="53" t="str">
        <x:v>Ceq_or_Ct_mmol_L</x:v>
      </x:c>
      <x:c r="L1" s="53" t="str">
        <x:v>C_over_C0</x:v>
      </x:c>
      <x:c r="M1" s="53" t="str">
        <x:v>Adsorbent_Dose_g_L</x:v>
      </x:c>
      <x:c r="N1" s="53" t="str">
        <x:v>Temperature_C</x:v>
      </x:c>
      <x:c r="O1" s="53" t="str">
        <x:v>qe_mmol_g</x:v>
      </x:c>
      <x:c r="P1" s="53" t="str">
        <x:v>qe_mg_g</x:v>
      </x:c>
      <x:c r="Q1" s="53" t="str">
        <x:v>Source_Figure</x:v>
      </x:c>
      <x:c r="R1" s="53" t="str">
        <x:v>Source_Page</x:v>
      </x:c>
      <x:c r="S1" s="53" t="str">
        <x:v>Marker_Index</x:v>
      </x:c>
      <x:c r="T1" s="53" t="str">
        <x:v>Use_for_Model</x:v>
      </x:c>
      <x:c r="U1" s="53" t="str">
        <x:v>Exclusion_Reason</x:v>
      </x:c>
    </x:row>
    <x:row r="2">
      <x:c r="A2" s="29" t="str">
        <x:v>Pr</x:v>
      </x:c>
      <x:c r="B2" s="29" t="str">
        <x:v>P2-APEI</x:v>
      </x:c>
      <x:c r="C2" s="29" t="str">
        <x:v>Phosphorylated</x:v>
      </x:c>
      <x:c r="D2" s="29" t="str">
        <x:v>Single</x:v>
      </x:c>
      <x:c r="E2" s="29" t="n">
        <x:v>1</x:v>
      </x:c>
      <x:c r="F2" s="29" t="str">
        <x:v>Uptake kinetics</x:v>
      </x:c>
      <x:c r="G2" s="29" t="n">
        <x:v>5</x:v>
      </x:c>
      <x:c r="H2" s="29" t="n">
        <x:v>0</x:v>
      </x:c>
      <x:c r="I2" s="29" t="n">
        <x:v>50</x:v>
      </x:c>
      <x:c r="J2" s="29" t="n">
        <x:v>0.354842</x:v>
      </x:c>
      <x:c r="K2" s="29" t="n">
        <x:v>0.354842</x:v>
      </x:c>
      <x:c r="L2" s="29" t="n">
        <x:v>1</x:v>
      </x:c>
      <x:c r="M2" s="29" t="n">
        <x:v>0.25</x:v>
      </x:c>
      <x:c r="N2" s="29" t="n">
        <x:v>22</x:v>
      </x:c>
      <x:c r="O2" s="29" t="n">
        <x:v>0</x:v>
      </x:c>
      <x:c r="P2" s="29" t="n">
        <x:v>0</x:v>
      </x:c>
      <x:c r="Q2" s="29" t="str">
        <x:v>S8a</x:v>
      </x:c>
      <x:c r="R2" s="29" t="n">
        <x:v>30</x:v>
      </x:c>
      <x:c r="S2" s="29" t="n">
        <x:v>24</x:v>
      </x:c>
      <x:c r="T2" s="58" t="b">
        <x:v>1</x:v>
      </x:c>
      <x:c r="U2" s="29" t="str"/>
    </x:row>
    <x:row r="3">
      <x:c r="A3" s="29" t="str">
        <x:v>Pr</x:v>
      </x:c>
      <x:c r="B3" s="29" t="str">
        <x:v>P2-APEI</x:v>
      </x:c>
      <x:c r="C3" s="29" t="str">
        <x:v>Phosphorylated</x:v>
      </x:c>
      <x:c r="D3" s="29" t="str">
        <x:v>Single</x:v>
      </x:c>
      <x:c r="E3" s="29" t="n">
        <x:v>1</x:v>
      </x:c>
      <x:c r="F3" s="29" t="str">
        <x:v>Uptake kinetics</x:v>
      </x:c>
      <x:c r="G3" s="29" t="n">
        <x:v>5</x:v>
      </x:c>
      <x:c r="H3" s="29" t="n">
        <x:v>2</x:v>
      </x:c>
      <x:c r="I3" s="29" t="n">
        <x:v>50</x:v>
      </x:c>
      <x:c r="J3" s="29" t="n">
        <x:v>0.354842</x:v>
      </x:c>
      <x:c r="K3" s="29" t="n">
        <x:v>0.342928</x:v>
      </x:c>
      <x:c r="L3" s="29" t="n">
        <x:v>0.966425</x:v>
      </x:c>
      <x:c r="M3" s="29" t="n">
        <x:v>0.25</x:v>
      </x:c>
      <x:c r="N3" s="29" t="n">
        <x:v>22</x:v>
      </x:c>
      <x:c r="O3" s="29" t="n">
        <x:v>0.047656</x:v>
      </x:c>
      <x:c r="P3" s="29" t="n">
        <x:v>6.715089</x:v>
      </x:c>
      <x:c r="Q3" s="29" t="str">
        <x:v>S8a</x:v>
      </x:c>
      <x:c r="R3" s="29" t="n">
        <x:v>30</x:v>
      </x:c>
      <x:c r="S3" s="29" t="n">
        <x:v>25</x:v>
      </x:c>
      <x:c r="T3" s="58" t="b">
        <x:v>1</x:v>
      </x:c>
      <x:c r="U3" s="29" t="str"/>
    </x:row>
    <x:row r="4">
      <x:c r="A4" s="29" t="str">
        <x:v>Pr</x:v>
      </x:c>
      <x:c r="B4" s="29" t="str">
        <x:v>P2-APEI</x:v>
      </x:c>
      <x:c r="C4" s="29" t="str">
        <x:v>Phosphorylated</x:v>
      </x:c>
      <x:c r="D4" s="29" t="str">
        <x:v>Single</x:v>
      </x:c>
      <x:c r="E4" s="29" t="n">
        <x:v>1</x:v>
      </x:c>
      <x:c r="F4" s="29" t="str">
        <x:v>Uptake kinetics</x:v>
      </x:c>
      <x:c r="G4" s="29" t="n">
        <x:v>5</x:v>
      </x:c>
      <x:c r="H4" s="29" t="n">
        <x:v>5</x:v>
      </x:c>
      <x:c r="I4" s="29" t="n">
        <x:v>50</x:v>
      </x:c>
      <x:c r="J4" s="29" t="n">
        <x:v>0.354842</x:v>
      </x:c>
      <x:c r="K4" s="29" t="n">
        <x:v>0.322176</x:v>
      </x:c>
      <x:c r="L4" s="29" t="n">
        <x:v>0.907941</x:v>
      </x:c>
      <x:c r="M4" s="29" t="n">
        <x:v>0.25</x:v>
      </x:c>
      <x:c r="N4" s="29" t="n">
        <x:v>22</x:v>
      </x:c>
      <x:c r="O4" s="29" t="n">
        <x:v>0.130666</x:v>
      </x:c>
      <x:c r="P4" s="29" t="n">
        <x:v>18.411841</x:v>
      </x:c>
      <x:c r="Q4" s="29" t="str">
        <x:v>S8a</x:v>
      </x:c>
      <x:c r="R4" s="29" t="n">
        <x:v>30</x:v>
      </x:c>
      <x:c r="S4" s="29" t="n">
        <x:v>26</x:v>
      </x:c>
      <x:c r="T4" s="58" t="b">
        <x:v>1</x:v>
      </x:c>
      <x:c r="U4" s="29" t="str"/>
    </x:row>
    <x:row r="5">
      <x:c r="A5" s="29" t="str">
        <x:v>Pr</x:v>
      </x:c>
      <x:c r="B5" s="29" t="str">
        <x:v>P2-APEI</x:v>
      </x:c>
      <x:c r="C5" s="29" t="str">
        <x:v>Phosphorylated</x:v>
      </x:c>
      <x:c r="D5" s="29" t="str">
        <x:v>Single</x:v>
      </x:c>
      <x:c r="E5" s="29" t="n">
        <x:v>1</x:v>
      </x:c>
      <x:c r="F5" s="29" t="str">
        <x:v>Uptake kinetics</x:v>
      </x:c>
      <x:c r="G5" s="29" t="n">
        <x:v>5</x:v>
      </x:c>
      <x:c r="H5" s="29" t="n">
        <x:v>10</x:v>
      </x:c>
      <x:c r="I5" s="29" t="n">
        <x:v>50</x:v>
      </x:c>
      <x:c r="J5" s="29" t="n">
        <x:v>0.354842</x:v>
      </x:c>
      <x:c r="K5" s="29" t="n">
        <x:v>0.289894</x:v>
      </x:c>
      <x:c r="L5" s="29" t="n">
        <x:v>0.816966</x:v>
      </x:c>
      <x:c r="M5" s="29" t="n">
        <x:v>0.25</x:v>
      </x:c>
      <x:c r="N5" s="29" t="n">
        <x:v>22</x:v>
      </x:c>
      <x:c r="O5" s="29" t="n">
        <x:v>0.259793</x:v>
      </x:c>
      <x:c r="P5" s="29" t="n">
        <x:v>36.606786</x:v>
      </x:c>
      <x:c r="Q5" s="29" t="str">
        <x:v>S8a</x:v>
      </x:c>
      <x:c r="R5" s="29" t="n">
        <x:v>30</x:v>
      </x:c>
      <x:c r="S5" s="29" t="n">
        <x:v>27</x:v>
      </x:c>
      <x:c r="T5" s="58" t="b">
        <x:v>1</x:v>
      </x:c>
      <x:c r="U5" s="29" t="str"/>
    </x:row>
    <x:row r="6">
      <x:c r="A6" s="29" t="str">
        <x:v>Pr</x:v>
      </x:c>
      <x:c r="B6" s="29" t="str">
        <x:v>P2-APEI</x:v>
      </x:c>
      <x:c r="C6" s="29" t="str">
        <x:v>Phosphorylated</x:v>
      </x:c>
      <x:c r="D6" s="29" t="str">
        <x:v>Single</x:v>
      </x:c>
      <x:c r="E6" s="29" t="n">
        <x:v>1</x:v>
      </x:c>
      <x:c r="F6" s="29" t="str">
        <x:v>Uptake kinetics</x:v>
      </x:c>
      <x:c r="G6" s="29" t="n">
        <x:v>5</x:v>
      </x:c>
      <x:c r="H6" s="29" t="n">
        <x:v>15</x:v>
      </x:c>
      <x:c r="I6" s="29" t="n">
        <x:v>50</x:v>
      </x:c>
      <x:c r="J6" s="29" t="n">
        <x:v>0.354842</x:v>
      </x:c>
      <x:c r="K6" s="29" t="n">
        <x:v>0.276444</x:v>
      </x:c>
      <x:c r="L6" s="29" t="n">
        <x:v>0.779061</x:v>
      </x:c>
      <x:c r="M6" s="29" t="n">
        <x:v>0.25</x:v>
      </x:c>
      <x:c r="N6" s="29" t="n">
        <x:v>22</x:v>
      </x:c>
      <x:c r="O6" s="29" t="n">
        <x:v>0.313593</x:v>
      </x:c>
      <x:c r="P6" s="29" t="n">
        <x:v>44.187723</x:v>
      </x:c>
      <x:c r="Q6" s="29" t="str">
        <x:v>S8a</x:v>
      </x:c>
      <x:c r="R6" s="29" t="n">
        <x:v>30</x:v>
      </x:c>
      <x:c r="S6" s="29" t="n">
        <x:v>28</x:v>
      </x:c>
      <x:c r="T6" s="58" t="b">
        <x:v>1</x:v>
      </x:c>
      <x:c r="U6" s="29" t="str"/>
    </x:row>
    <x:row r="7">
      <x:c r="A7" s="29" t="str">
        <x:v>Pr</x:v>
      </x:c>
      <x:c r="B7" s="29" t="str">
        <x:v>P2-APEI</x:v>
      </x:c>
      <x:c r="C7" s="29" t="str">
        <x:v>Phosphorylated</x:v>
      </x:c>
      <x:c r="D7" s="29" t="str">
        <x:v>Single</x:v>
      </x:c>
      <x:c r="E7" s="29" t="n">
        <x:v>1</x:v>
      </x:c>
      <x:c r="F7" s="29" t="str">
        <x:v>Uptake kinetics</x:v>
      </x:c>
      <x:c r="G7" s="29" t="n">
        <x:v>5</x:v>
      </x:c>
      <x:c r="H7" s="29" t="n">
        <x:v>20</x:v>
      </x:c>
      <x:c r="I7" s="29" t="n">
        <x:v>50</x:v>
      </x:c>
      <x:c r="J7" s="29" t="n">
        <x:v>0.354842</x:v>
      </x:c>
      <x:c r="K7" s="29" t="n">
        <x:v>0.271832</x:v>
      </x:c>
      <x:c r="L7" s="29" t="n">
        <x:v>0.766065</x:v>
      </x:c>
      <x:c r="M7" s="29" t="n">
        <x:v>0.25</x:v>
      </x:c>
      <x:c r="N7" s="29" t="n">
        <x:v>22</x:v>
      </x:c>
      <x:c r="O7" s="29" t="n">
        <x:v>0.33204</x:v>
      </x:c>
      <x:c r="P7" s="29" t="n">
        <x:v>46.787002</x:v>
      </x:c>
      <x:c r="Q7" s="29" t="str">
        <x:v>S8a</x:v>
      </x:c>
      <x:c r="R7" s="29" t="n">
        <x:v>30</x:v>
      </x:c>
      <x:c r="S7" s="29" t="n">
        <x:v>29</x:v>
      </x:c>
      <x:c r="T7" s="58" t="b">
        <x:v>1</x:v>
      </x:c>
      <x:c r="U7" s="29" t="str"/>
    </x:row>
    <x:row r="8">
      <x:c r="A8" s="29" t="str">
        <x:v>Pr</x:v>
      </x:c>
      <x:c r="B8" s="29" t="str">
        <x:v>P2-APEI</x:v>
      </x:c>
      <x:c r="C8" s="29" t="str">
        <x:v>Phosphorylated</x:v>
      </x:c>
      <x:c r="D8" s="29" t="str">
        <x:v>Single</x:v>
      </x:c>
      <x:c r="E8" s="29" t="n">
        <x:v>1</x:v>
      </x:c>
      <x:c r="F8" s="29" t="str">
        <x:v>Uptake kinetics</x:v>
      </x:c>
      <x:c r="G8" s="29" t="n">
        <x:v>5</x:v>
      </x:c>
      <x:c r="H8" s="29" t="n">
        <x:v>25</x:v>
      </x:c>
      <x:c r="I8" s="29" t="n">
        <x:v>50</x:v>
      </x:c>
      <x:c r="J8" s="29" t="n">
        <x:v>0.354842</x:v>
      </x:c>
      <x:c r="K8" s="29" t="n">
        <x:v>0.271832</x:v>
      </x:c>
      <x:c r="L8" s="29" t="n">
        <x:v>0.766065</x:v>
      </x:c>
      <x:c r="M8" s="29" t="n">
        <x:v>0.25</x:v>
      </x:c>
      <x:c r="N8" s="29" t="n">
        <x:v>22</x:v>
      </x:c>
      <x:c r="O8" s="29" t="n">
        <x:v>0.33204</x:v>
      </x:c>
      <x:c r="P8" s="29" t="n">
        <x:v>46.787002</x:v>
      </x:c>
      <x:c r="Q8" s="29" t="str">
        <x:v>S8a</x:v>
      </x:c>
      <x:c r="R8" s="29" t="n">
        <x:v>30</x:v>
      </x:c>
      <x:c r="S8" s="29" t="n">
        <x:v>30</x:v>
      </x:c>
      <x:c r="T8" s="58" t="b">
        <x:v>1</x:v>
      </x:c>
      <x:c r="U8" s="29" t="str"/>
    </x:row>
    <x:row r="9">
      <x:c r="A9" s="29" t="str">
        <x:v>Pr</x:v>
      </x:c>
      <x:c r="B9" s="29" t="str">
        <x:v>P2-APEI</x:v>
      </x:c>
      <x:c r="C9" s="29" t="str">
        <x:v>Phosphorylated</x:v>
      </x:c>
      <x:c r="D9" s="29" t="str">
        <x:v>Single</x:v>
      </x:c>
      <x:c r="E9" s="29" t="n">
        <x:v>1</x:v>
      </x:c>
      <x:c r="F9" s="29" t="str">
        <x:v>Uptake kinetics</x:v>
      </x:c>
      <x:c r="G9" s="29" t="n">
        <x:v>5</x:v>
      </x:c>
      <x:c r="H9" s="29" t="n">
        <x:v>30</x:v>
      </x:c>
      <x:c r="I9" s="29" t="n">
        <x:v>50</x:v>
      </x:c>
      <x:c r="J9" s="29" t="n">
        <x:v>0.354842</x:v>
      </x:c>
      <x:c r="K9" s="29" t="n">
        <x:v>0.271832</x:v>
      </x:c>
      <x:c r="L9" s="29" t="n">
        <x:v>0.766065</x:v>
      </x:c>
      <x:c r="M9" s="29" t="n">
        <x:v>0.25</x:v>
      </x:c>
      <x:c r="N9" s="29" t="n">
        <x:v>22</x:v>
      </x:c>
      <x:c r="O9" s="29" t="n">
        <x:v>0.33204</x:v>
      </x:c>
      <x:c r="P9" s="29" t="n">
        <x:v>46.787004</x:v>
      </x:c>
      <x:c r="Q9" s="29" t="str">
        <x:v>S8a</x:v>
      </x:c>
      <x:c r="R9" s="29" t="n">
        <x:v>30</x:v>
      </x:c>
      <x:c r="S9" s="29" t="n">
        <x:v>31</x:v>
      </x:c>
      <x:c r="T9" s="58" t="b">
        <x:v>1</x:v>
      </x:c>
      <x:c r="U9" s="29" t="str"/>
    </x:row>
    <x:row r="10">
      <x:c r="A10" s="29" t="str">
        <x:v>Pr</x:v>
      </x:c>
      <x:c r="B10" s="29" t="str">
        <x:v>P2-APEI</x:v>
      </x:c>
      <x:c r="C10" s="29" t="str">
        <x:v>Phosphorylated</x:v>
      </x:c>
      <x:c r="D10" s="29" t="str">
        <x:v>Single</x:v>
      </x:c>
      <x:c r="E10" s="29" t="n">
        <x:v>1</x:v>
      </x:c>
      <x:c r="F10" s="29" t="str">
        <x:v>Uptake kinetics</x:v>
      </x:c>
      <x:c r="G10" s="29" t="n">
        <x:v>5</x:v>
      </x:c>
      <x:c r="H10" s="29" t="n">
        <x:v>35</x:v>
      </x:c>
      <x:c r="I10" s="29" t="n">
        <x:v>50</x:v>
      </x:c>
      <x:c r="J10" s="29" t="n">
        <x:v>0.354842</x:v>
      </x:c>
      <x:c r="K10" s="29" t="n">
        <x:v>0.271832</x:v>
      </x:c>
      <x:c r="L10" s="29" t="n">
        <x:v>0.766065</x:v>
      </x:c>
      <x:c r="M10" s="29" t="n">
        <x:v>0.25</x:v>
      </x:c>
      <x:c r="N10" s="29" t="n">
        <x:v>22</x:v>
      </x:c>
      <x:c r="O10" s="29" t="n">
        <x:v>0.33204</x:v>
      </x:c>
      <x:c r="P10" s="29" t="n">
        <x:v>46.787004</x:v>
      </x:c>
      <x:c r="Q10" s="29" t="str">
        <x:v>S8a</x:v>
      </x:c>
      <x:c r="R10" s="29" t="n">
        <x:v>30</x:v>
      </x:c>
      <x:c r="S10" s="29" t="n">
        <x:v>32</x:v>
      </x:c>
      <x:c r="T10" s="58" t="b">
        <x:v>1</x:v>
      </x:c>
      <x:c r="U10" s="29" t="str"/>
    </x:row>
    <x:row r="11">
      <x:c r="A11" s="29" t="str">
        <x:v>Pr</x:v>
      </x:c>
      <x:c r="B11" s="29" t="str">
        <x:v>P2-APEI</x:v>
      </x:c>
      <x:c r="C11" s="29" t="str">
        <x:v>Phosphorylated</x:v>
      </x:c>
      <x:c r="D11" s="29" t="str">
        <x:v>Single</x:v>
      </x:c>
      <x:c r="E11" s="29" t="n">
        <x:v>1</x:v>
      </x:c>
      <x:c r="F11" s="29" t="str">
        <x:v>Uptake kinetics</x:v>
      </x:c>
      <x:c r="G11" s="29" t="n">
        <x:v>5</x:v>
      </x:c>
      <x:c r="H11" s="29" t="n">
        <x:v>40</x:v>
      </x:c>
      <x:c r="I11" s="29" t="n">
        <x:v>50</x:v>
      </x:c>
      <x:c r="J11" s="29" t="n">
        <x:v>0.354842</x:v>
      </x:c>
      <x:c r="K11" s="29" t="n">
        <x:v>0.271832</x:v>
      </x:c>
      <x:c r="L11" s="29" t="n">
        <x:v>0.766065</x:v>
      </x:c>
      <x:c r="M11" s="29" t="n">
        <x:v>0.25</x:v>
      </x:c>
      <x:c r="N11" s="29" t="n">
        <x:v>22</x:v>
      </x:c>
      <x:c r="O11" s="29" t="n">
        <x:v>0.33204</x:v>
      </x:c>
      <x:c r="P11" s="29" t="n">
        <x:v>46.787009</x:v>
      </x:c>
      <x:c r="Q11" s="29" t="str">
        <x:v>S8a</x:v>
      </x:c>
      <x:c r="R11" s="29" t="n">
        <x:v>30</x:v>
      </x:c>
      <x:c r="S11" s="29" t="n">
        <x:v>33</x:v>
      </x:c>
      <x:c r="T11" s="58" t="b">
        <x:v>1</x:v>
      </x:c>
      <x:c r="U11" s="29" t="str"/>
    </x:row>
    <x:row r="12">
      <x:c r="A12" s="29" t="str">
        <x:v>Pr</x:v>
      </x:c>
      <x:c r="B12" s="29" t="str">
        <x:v>P2-APEI</x:v>
      </x:c>
      <x:c r="C12" s="29" t="str">
        <x:v>Phosphorylated</x:v>
      </x:c>
      <x:c r="D12" s="29" t="str">
        <x:v>Single</x:v>
      </x:c>
      <x:c r="E12" s="29" t="n">
        <x:v>1</x:v>
      </x:c>
      <x:c r="F12" s="29" t="str">
        <x:v>Uptake kinetics</x:v>
      </x:c>
      <x:c r="G12" s="29" t="n">
        <x:v>5</x:v>
      </x:c>
      <x:c r="H12" s="29" t="n">
        <x:v>50</x:v>
      </x:c>
      <x:c r="I12" s="29" t="n">
        <x:v>50</x:v>
      </x:c>
      <x:c r="J12" s="29" t="n">
        <x:v>0.354842</x:v>
      </x:c>
      <x:c r="K12" s="29" t="n">
        <x:v>0.271832</x:v>
      </x:c>
      <x:c r="L12" s="29" t="n">
        <x:v>0.766065</x:v>
      </x:c>
      <x:c r="M12" s="29" t="n">
        <x:v>0.25</x:v>
      </x:c>
      <x:c r="N12" s="29" t="n">
        <x:v>22</x:v>
      </x:c>
      <x:c r="O12" s="29" t="n">
        <x:v>0.33204</x:v>
      </x:c>
      <x:c r="P12" s="29" t="n">
        <x:v>46.787011</x:v>
      </x:c>
      <x:c r="Q12" s="29" t="str">
        <x:v>S8a</x:v>
      </x:c>
      <x:c r="R12" s="29" t="n">
        <x:v>30</x:v>
      </x:c>
      <x:c r="S12" s="29" t="n">
        <x:v>34</x:v>
      </x:c>
      <x:c r="T12" s="58" t="b">
        <x:v>1</x:v>
      </x:c>
      <x:c r="U12" s="29" t="str"/>
    </x:row>
    <x:row r="13">
      <x:c r="A13" s="29" t="str">
        <x:v>Pr</x:v>
      </x:c>
      <x:c r="B13" s="29" t="str">
        <x:v>P2-APEI</x:v>
      </x:c>
      <x:c r="C13" s="29" t="str">
        <x:v>Phosphorylated</x:v>
      </x:c>
      <x:c r="D13" s="29" t="str">
        <x:v>Single</x:v>
      </x:c>
      <x:c r="E13" s="29" t="n">
        <x:v>1</x:v>
      </x:c>
      <x:c r="F13" s="29" t="str">
        <x:v>Uptake kinetics</x:v>
      </x:c>
      <x:c r="G13" s="29" t="n">
        <x:v>5</x:v>
      </x:c>
      <x:c r="H13" s="29" t="n">
        <x:v>60</x:v>
      </x:c>
      <x:c r="I13" s="29" t="n">
        <x:v>50</x:v>
      </x:c>
      <x:c r="J13" s="29" t="n">
        <x:v>0.354842</x:v>
      </x:c>
      <x:c r="K13" s="29" t="n">
        <x:v>0.271832</x:v>
      </x:c>
      <x:c r="L13" s="29" t="n">
        <x:v>0.766065</x:v>
      </x:c>
      <x:c r="M13" s="29" t="n">
        <x:v>0.25</x:v>
      </x:c>
      <x:c r="N13" s="29" t="n">
        <x:v>22</x:v>
      </x:c>
      <x:c r="O13" s="29" t="n">
        <x:v>0.33204</x:v>
      </x:c>
      <x:c r="P13" s="29" t="n">
        <x:v>46.787011</x:v>
      </x:c>
      <x:c r="Q13" s="29" t="str">
        <x:v>S8a</x:v>
      </x:c>
      <x:c r="R13" s="29" t="n">
        <x:v>30</x:v>
      </x:c>
      <x:c r="S13" s="29" t="n">
        <x:v>35</x:v>
      </x:c>
      <x:c r="T13" s="58" t="b">
        <x:v>1</x:v>
      </x:c>
      <x:c r="U13" s="29" t="str"/>
    </x:row>
    <x:row r="14">
      <x:c r="A14" s="29" t="str">
        <x:v>Pr</x:v>
      </x:c>
      <x:c r="B14" s="29" t="str">
        <x:v>P2-APEI</x:v>
      </x:c>
      <x:c r="C14" s="29" t="str">
        <x:v>Phosphorylated</x:v>
      </x:c>
      <x:c r="D14" s="29" t="str">
        <x:v>Single</x:v>
      </x:c>
      <x:c r="E14" s="29" t="n">
        <x:v>2</x:v>
      </x:c>
      <x:c r="F14" s="29" t="str">
        <x:v>Uptake kinetics</x:v>
      </x:c>
      <x:c r="G14" s="29" t="n">
        <x:v>5</x:v>
      </x:c>
      <x:c r="H14" s="29" t="n">
        <x:v>0</x:v>
      </x:c>
      <x:c r="I14" s="29" t="n">
        <x:v>50</x:v>
      </x:c>
      <x:c r="J14" s="29" t="n">
        <x:v>0.354842</x:v>
      </x:c>
      <x:c r="K14" s="29" t="n">
        <x:v>0.354842</x:v>
      </x:c>
      <x:c r="L14" s="29" t="n">
        <x:v>1</x:v>
      </x:c>
      <x:c r="M14" s="29" t="n">
        <x:v>0.25</x:v>
      </x:c>
      <x:c r="N14" s="29" t="n">
        <x:v>22</x:v>
      </x:c>
      <x:c r="O14" s="29" t="n">
        <x:v>0</x:v>
      </x:c>
      <x:c r="P14" s="29" t="n">
        <x:v>0</x:v>
      </x:c>
      <x:c r="Q14" s="29" t="str">
        <x:v>S8a</x:v>
      </x:c>
      <x:c r="R14" s="29" t="n">
        <x:v>30</x:v>
      </x:c>
      <x:c r="S14" s="29" t="n">
        <x:v>36</x:v>
      </x:c>
      <x:c r="T14" s="58" t="b">
        <x:v>1</x:v>
      </x:c>
      <x:c r="U14" s="29" t="str"/>
    </x:row>
    <x:row r="15">
      <x:c r="A15" s="29" t="str">
        <x:v>Pr</x:v>
      </x:c>
      <x:c r="B15" s="29" t="str">
        <x:v>P2-APEI</x:v>
      </x:c>
      <x:c r="C15" s="29" t="str">
        <x:v>Phosphorylated</x:v>
      </x:c>
      <x:c r="D15" s="29" t="str">
        <x:v>Single</x:v>
      </x:c>
      <x:c r="E15" s="29" t="n">
        <x:v>2</x:v>
      </x:c>
      <x:c r="F15" s="29" t="str">
        <x:v>Uptake kinetics</x:v>
      </x:c>
      <x:c r="G15" s="29" t="n">
        <x:v>5</x:v>
      </x:c>
      <x:c r="H15" s="29" t="n">
        <x:v>2</x:v>
      </x:c>
      <x:c r="I15" s="29" t="n">
        <x:v>50</x:v>
      </x:c>
      <x:c r="J15" s="29" t="n">
        <x:v>0.354842</x:v>
      </x:c>
      <x:c r="K15" s="29" t="n">
        <x:v>0.343697</x:v>
      </x:c>
      <x:c r="L15" s="29" t="n">
        <x:v>0.968591</x:v>
      </x:c>
      <x:c r="M15" s="29" t="n">
        <x:v>0.25</x:v>
      </x:c>
      <x:c r="N15" s="29" t="n">
        <x:v>22</x:v>
      </x:c>
      <x:c r="O15" s="29" t="n">
        <x:v>0.044582</x:v>
      </x:c>
      <x:c r="P15" s="29" t="n">
        <x:v>6.281875</x:v>
      </x:c>
      <x:c r="Q15" s="29" t="str">
        <x:v>S8a</x:v>
      </x:c>
      <x:c r="R15" s="29" t="n">
        <x:v>30</x:v>
      </x:c>
      <x:c r="S15" s="29" t="n">
        <x:v>37</x:v>
      </x:c>
      <x:c r="T15" s="58" t="b">
        <x:v>1</x:v>
      </x:c>
      <x:c r="U15" s="29" t="str"/>
    </x:row>
    <x:row r="16">
      <x:c r="A16" s="29" t="str">
        <x:v>Pr</x:v>
      </x:c>
      <x:c r="B16" s="29" t="str">
        <x:v>P2-APEI</x:v>
      </x:c>
      <x:c r="C16" s="29" t="str">
        <x:v>Phosphorylated</x:v>
      </x:c>
      <x:c r="D16" s="29" t="str">
        <x:v>Single</x:v>
      </x:c>
      <x:c r="E16" s="29" t="n">
        <x:v>2</x:v>
      </x:c>
      <x:c r="F16" s="29" t="str">
        <x:v>Uptake kinetics</x:v>
      </x:c>
      <x:c r="G16" s="29" t="n">
        <x:v>5</x:v>
      </x:c>
      <x:c r="H16" s="29" t="n">
        <x:v>5</x:v>
      </x:c>
      <x:c r="I16" s="29" t="n">
        <x:v>50</x:v>
      </x:c>
      <x:c r="J16" s="29" t="n">
        <x:v>0.354842</x:v>
      </x:c>
      <x:c r="K16" s="29" t="n">
        <x:v>0.318717</x:v>
      </x:c>
      <x:c r="L16" s="29" t="n">
        <x:v>0.898194</x:v>
      </x:c>
      <x:c r="M16" s="29" t="n">
        <x:v>0.25</x:v>
      </x:c>
      <x:c r="N16" s="29" t="n">
        <x:v>22</x:v>
      </x:c>
      <x:c r="O16" s="29" t="n">
        <x:v>0.144501</x:v>
      </x:c>
      <x:c r="P16" s="29" t="n">
        <x:v>20.3613</x:v>
      </x:c>
      <x:c r="Q16" s="29" t="str">
        <x:v>S8a</x:v>
      </x:c>
      <x:c r="R16" s="29" t="n">
        <x:v>30</x:v>
      </x:c>
      <x:c r="S16" s="29" t="n">
        <x:v>38</x:v>
      </x:c>
      <x:c r="T16" s="58" t="b">
        <x:v>1</x:v>
      </x:c>
      <x:c r="U16" s="29" t="str"/>
    </x:row>
    <x:row r="17">
      <x:c r="A17" s="29" t="str">
        <x:v>Pr</x:v>
      </x:c>
      <x:c r="B17" s="29" t="str">
        <x:v>P2-APEI</x:v>
      </x:c>
      <x:c r="C17" s="29" t="str">
        <x:v>Phosphorylated</x:v>
      </x:c>
      <x:c r="D17" s="29" t="str">
        <x:v>Single</x:v>
      </x:c>
      <x:c r="E17" s="29" t="n">
        <x:v>2</x:v>
      </x:c>
      <x:c r="F17" s="29" t="str">
        <x:v>Uptake kinetics</x:v>
      </x:c>
      <x:c r="G17" s="29" t="n">
        <x:v>5</x:v>
      </x:c>
      <x:c r="H17" s="29" t="n">
        <x:v>10</x:v>
      </x:c>
      <x:c r="I17" s="29" t="n">
        <x:v>50</x:v>
      </x:c>
      <x:c r="J17" s="29" t="n">
        <x:v>0.354842</x:v>
      </x:c>
      <x:c r="K17" s="29" t="n">
        <x:v>0.278365</x:v>
      </x:c>
      <x:c r="L17" s="29" t="n">
        <x:v>0.784476</x:v>
      </x:c>
      <x:c r="M17" s="29" t="n">
        <x:v>0.25</x:v>
      </x:c>
      <x:c r="N17" s="29" t="n">
        <x:v>22</x:v>
      </x:c>
      <x:c r="O17" s="29" t="n">
        <x:v>0.305908</x:v>
      </x:c>
      <x:c r="P17" s="29" t="n">
        <x:v>43.104837</x:v>
      </x:c>
      <x:c r="Q17" s="29" t="str">
        <x:v>S8a</x:v>
      </x:c>
      <x:c r="R17" s="29" t="n">
        <x:v>30</x:v>
      </x:c>
      <x:c r="S17" s="29" t="n">
        <x:v>39</x:v>
      </x:c>
      <x:c r="T17" s="58" t="b">
        <x:v>1</x:v>
      </x:c>
      <x:c r="U17" s="29" t="str"/>
    </x:row>
    <x:row r="18">
      <x:c r="A18" s="29" t="str">
        <x:v>Pr</x:v>
      </x:c>
      <x:c r="B18" s="29" t="str">
        <x:v>P2-APEI</x:v>
      </x:c>
      <x:c r="C18" s="29" t="str">
        <x:v>Phosphorylated</x:v>
      </x:c>
      <x:c r="D18" s="29" t="str">
        <x:v>Single</x:v>
      </x:c>
      <x:c r="E18" s="29" t="n">
        <x:v>2</x:v>
      </x:c>
      <x:c r="F18" s="29" t="str">
        <x:v>Uptake kinetics</x:v>
      </x:c>
      <x:c r="G18" s="29" t="n">
        <x:v>5</x:v>
      </x:c>
      <x:c r="H18" s="29" t="n">
        <x:v>15</x:v>
      </x:c>
      <x:c r="I18" s="29" t="n">
        <x:v>50</x:v>
      </x:c>
      <x:c r="J18" s="29" t="n">
        <x:v>0.354842</x:v>
      </x:c>
      <x:c r="K18" s="29" t="n">
        <x:v>0.267989</x:v>
      </x:c>
      <x:c r="L18" s="29" t="n">
        <x:v>0.755235</x:v>
      </x:c>
      <x:c r="M18" s="29" t="n">
        <x:v>0.25</x:v>
      </x:c>
      <x:c r="N18" s="29" t="n">
        <x:v>22</x:v>
      </x:c>
      <x:c r="O18" s="29" t="n">
        <x:v>0.347412</x:v>
      </x:c>
      <x:c r="P18" s="29" t="n">
        <x:v>48.953064</x:v>
      </x:c>
      <x:c r="Q18" s="29" t="str">
        <x:v>S8a</x:v>
      </x:c>
      <x:c r="R18" s="29" t="n">
        <x:v>30</x:v>
      </x:c>
      <x:c r="S18" s="29" t="n">
        <x:v>40</x:v>
      </x:c>
      <x:c r="T18" s="58" t="b">
        <x:v>1</x:v>
      </x:c>
      <x:c r="U18" s="29" t="str"/>
    </x:row>
    <x:row r="19">
      <x:c r="A19" s="29" t="str">
        <x:v>Pr</x:v>
      </x:c>
      <x:c r="B19" s="29" t="str">
        <x:v>P2-APEI</x:v>
      </x:c>
      <x:c r="C19" s="29" t="str">
        <x:v>Phosphorylated</x:v>
      </x:c>
      <x:c r="D19" s="29" t="str">
        <x:v>Single</x:v>
      </x:c>
      <x:c r="E19" s="29" t="n">
        <x:v>2</x:v>
      </x:c>
      <x:c r="F19" s="29" t="str">
        <x:v>Uptake kinetics</x:v>
      </x:c>
      <x:c r="G19" s="29" t="n">
        <x:v>5</x:v>
      </x:c>
      <x:c r="H19" s="29" t="n">
        <x:v>20</x:v>
      </x:c>
      <x:c r="I19" s="29" t="n">
        <x:v>50</x:v>
      </x:c>
      <x:c r="J19" s="29" t="n">
        <x:v>0.354842</x:v>
      </x:c>
      <x:c r="K19" s="29" t="n">
        <x:v>0.267605</x:v>
      </x:c>
      <x:c r="L19" s="29" t="n">
        <x:v>0.754152</x:v>
      </x:c>
      <x:c r="M19" s="29" t="n">
        <x:v>0.25</x:v>
      </x:c>
      <x:c r="N19" s="29" t="n">
        <x:v>22</x:v>
      </x:c>
      <x:c r="O19" s="29" t="n">
        <x:v>0.34895</x:v>
      </x:c>
      <x:c r="P19" s="29" t="n">
        <x:v>49.169672</x:v>
      </x:c>
      <x:c r="Q19" s="29" t="str">
        <x:v>S8a</x:v>
      </x:c>
      <x:c r="R19" s="29" t="n">
        <x:v>30</x:v>
      </x:c>
      <x:c r="S19" s="29" t="n">
        <x:v>41</x:v>
      </x:c>
      <x:c r="T19" s="58" t="b">
        <x:v>1</x:v>
      </x:c>
      <x:c r="U19" s="29" t="str"/>
    </x:row>
    <x:row r="20">
      <x:c r="A20" s="29" t="str">
        <x:v>Pr</x:v>
      </x:c>
      <x:c r="B20" s="29" t="str">
        <x:v>P2-APEI</x:v>
      </x:c>
      <x:c r="C20" s="29" t="str">
        <x:v>Phosphorylated</x:v>
      </x:c>
      <x:c r="D20" s="29" t="str">
        <x:v>Single</x:v>
      </x:c>
      <x:c r="E20" s="29" t="n">
        <x:v>2</x:v>
      </x:c>
      <x:c r="F20" s="29" t="str">
        <x:v>Uptake kinetics</x:v>
      </x:c>
      <x:c r="G20" s="29" t="n">
        <x:v>5</x:v>
      </x:c>
      <x:c r="H20" s="29" t="n">
        <x:v>25</x:v>
      </x:c>
      <x:c r="I20" s="29" t="n">
        <x:v>50</x:v>
      </x:c>
      <x:c r="J20" s="29" t="n">
        <x:v>0.354842</x:v>
      </x:c>
      <x:c r="K20" s="29" t="n">
        <x:v>0.267605</x:v>
      </x:c>
      <x:c r="L20" s="29" t="n">
        <x:v>0.754152</x:v>
      </x:c>
      <x:c r="M20" s="29" t="n">
        <x:v>0.25</x:v>
      </x:c>
      <x:c r="N20" s="29" t="n">
        <x:v>22</x:v>
      </x:c>
      <x:c r="O20" s="29" t="n">
        <x:v>0.34895</x:v>
      </x:c>
      <x:c r="P20" s="29" t="n">
        <x:v>49.169672</x:v>
      </x:c>
      <x:c r="Q20" s="29" t="str">
        <x:v>S8a</x:v>
      </x:c>
      <x:c r="R20" s="29" t="n">
        <x:v>30</x:v>
      </x:c>
      <x:c r="S20" s="29" t="n">
        <x:v>42</x:v>
      </x:c>
      <x:c r="T20" s="58" t="b">
        <x:v>1</x:v>
      </x:c>
      <x:c r="U20" s="29" t="str"/>
    </x:row>
    <x:row r="21">
      <x:c r="A21" s="29" t="str">
        <x:v>Pr</x:v>
      </x:c>
      <x:c r="B21" s="29" t="str">
        <x:v>P2-APEI</x:v>
      </x:c>
      <x:c r="C21" s="29" t="str">
        <x:v>Phosphorylated</x:v>
      </x:c>
      <x:c r="D21" s="29" t="str">
        <x:v>Single</x:v>
      </x:c>
      <x:c r="E21" s="29" t="n">
        <x:v>2</x:v>
      </x:c>
      <x:c r="F21" s="29" t="str">
        <x:v>Uptake kinetics</x:v>
      </x:c>
      <x:c r="G21" s="29" t="n">
        <x:v>5</x:v>
      </x:c>
      <x:c r="H21" s="29" t="n">
        <x:v>30</x:v>
      </x:c>
      <x:c r="I21" s="29" t="n">
        <x:v>50</x:v>
      </x:c>
      <x:c r="J21" s="29" t="n">
        <x:v>0.354842</x:v>
      </x:c>
      <x:c r="K21" s="29" t="n">
        <x:v>0.267221</x:v>
      </x:c>
      <x:c r="L21" s="29" t="n">
        <x:v>0.753069</x:v>
      </x:c>
      <x:c r="M21" s="29" t="n">
        <x:v>0.25</x:v>
      </x:c>
      <x:c r="N21" s="29" t="n">
        <x:v>22</x:v>
      </x:c>
      <x:c r="O21" s="29" t="n">
        <x:v>0.350487</x:v>
      </x:c>
      <x:c r="P21" s="29" t="n">
        <x:v>49.386283</x:v>
      </x:c>
      <x:c r="Q21" s="29" t="str">
        <x:v>S8a</x:v>
      </x:c>
      <x:c r="R21" s="29" t="n">
        <x:v>30</x:v>
      </x:c>
      <x:c r="S21" s="29" t="n">
        <x:v>43</x:v>
      </x:c>
      <x:c r="T21" s="58" t="b">
        <x:v>1</x:v>
      </x:c>
      <x:c r="U21" s="29" t="str"/>
    </x:row>
    <x:row r="22">
      <x:c r="A22" s="29" t="str">
        <x:v>Pr</x:v>
      </x:c>
      <x:c r="B22" s="29" t="str">
        <x:v>P2-APEI</x:v>
      </x:c>
      <x:c r="C22" s="29" t="str">
        <x:v>Phosphorylated</x:v>
      </x:c>
      <x:c r="D22" s="29" t="str">
        <x:v>Single</x:v>
      </x:c>
      <x:c r="E22" s="29" t="n">
        <x:v>2</x:v>
      </x:c>
      <x:c r="F22" s="29" t="str">
        <x:v>Uptake kinetics</x:v>
      </x:c>
      <x:c r="G22" s="29" t="n">
        <x:v>5</x:v>
      </x:c>
      <x:c r="H22" s="29" t="n">
        <x:v>35</x:v>
      </x:c>
      <x:c r="I22" s="29" t="n">
        <x:v>50</x:v>
      </x:c>
      <x:c r="J22" s="29" t="n">
        <x:v>0.354842</x:v>
      </x:c>
      <x:c r="K22" s="29" t="n">
        <x:v>0.267221</x:v>
      </x:c>
      <x:c r="L22" s="29" t="n">
        <x:v>0.753069</x:v>
      </x:c>
      <x:c r="M22" s="29" t="n">
        <x:v>0.25</x:v>
      </x:c>
      <x:c r="N22" s="29" t="n">
        <x:v>22</x:v>
      </x:c>
      <x:c r="O22" s="29" t="n">
        <x:v>0.350487</x:v>
      </x:c>
      <x:c r="P22" s="29" t="n">
        <x:v>49.386283</x:v>
      </x:c>
      <x:c r="Q22" s="29" t="str">
        <x:v>S8a</x:v>
      </x:c>
      <x:c r="R22" s="29" t="n">
        <x:v>30</x:v>
      </x:c>
      <x:c r="S22" s="29" t="n">
        <x:v>44</x:v>
      </x:c>
      <x:c r="T22" s="58" t="b">
        <x:v>1</x:v>
      </x:c>
      <x:c r="U22" s="29" t="str"/>
    </x:row>
    <x:row r="23">
      <x:c r="A23" s="29" t="str">
        <x:v>Pr</x:v>
      </x:c>
      <x:c r="B23" s="29" t="str">
        <x:v>P2-APEI</x:v>
      </x:c>
      <x:c r="C23" s="29" t="str">
        <x:v>Phosphorylated</x:v>
      </x:c>
      <x:c r="D23" s="29" t="str">
        <x:v>Single</x:v>
      </x:c>
      <x:c r="E23" s="29" t="n">
        <x:v>2</x:v>
      </x:c>
      <x:c r="F23" s="29" t="str">
        <x:v>Uptake kinetics</x:v>
      </x:c>
      <x:c r="G23" s="29" t="n">
        <x:v>5</x:v>
      </x:c>
      <x:c r="H23" s="29" t="n">
        <x:v>40</x:v>
      </x:c>
      <x:c r="I23" s="29" t="n">
        <x:v>50</x:v>
      </x:c>
      <x:c r="J23" s="29" t="n">
        <x:v>0.354842</x:v>
      </x:c>
      <x:c r="K23" s="29" t="n">
        <x:v>0.267221</x:v>
      </x:c>
      <x:c r="L23" s="29" t="n">
        <x:v>0.753069</x:v>
      </x:c>
      <x:c r="M23" s="29" t="n">
        <x:v>0.25</x:v>
      </x:c>
      <x:c r="N23" s="29" t="n">
        <x:v>22</x:v>
      </x:c>
      <x:c r="O23" s="29" t="n">
        <x:v>0.350487</x:v>
      </x:c>
      <x:c r="P23" s="29" t="n">
        <x:v>49.386285</x:v>
      </x:c>
      <x:c r="Q23" s="29" t="str">
        <x:v>S8a</x:v>
      </x:c>
      <x:c r="R23" s="29" t="n">
        <x:v>30</x:v>
      </x:c>
      <x:c r="S23" s="29" t="n">
        <x:v>45</x:v>
      </x:c>
      <x:c r="T23" s="58" t="b">
        <x:v>1</x:v>
      </x:c>
      <x:c r="U23" s="29" t="str"/>
    </x:row>
    <x:row r="24">
      <x:c r="A24" s="29" t="str">
        <x:v>Pr</x:v>
      </x:c>
      <x:c r="B24" s="29" t="str">
        <x:v>P2-APEI</x:v>
      </x:c>
      <x:c r="C24" s="29" t="str">
        <x:v>Phosphorylated</x:v>
      </x:c>
      <x:c r="D24" s="29" t="str">
        <x:v>Single</x:v>
      </x:c>
      <x:c r="E24" s="29" t="n">
        <x:v>2</x:v>
      </x:c>
      <x:c r="F24" s="29" t="str">
        <x:v>Uptake kinetics</x:v>
      </x:c>
      <x:c r="G24" s="29" t="n">
        <x:v>5</x:v>
      </x:c>
      <x:c r="H24" s="29" t="n">
        <x:v>50</x:v>
      </x:c>
      <x:c r="I24" s="29" t="n">
        <x:v>50</x:v>
      </x:c>
      <x:c r="J24" s="29" t="n">
        <x:v>0.354842</x:v>
      </x:c>
      <x:c r="K24" s="29" t="n">
        <x:v>0.267221</x:v>
      </x:c>
      <x:c r="L24" s="29" t="n">
        <x:v>0.753069</x:v>
      </x:c>
      <x:c r="M24" s="29" t="n">
        <x:v>0.25</x:v>
      </x:c>
      <x:c r="N24" s="29" t="n">
        <x:v>22</x:v>
      </x:c>
      <x:c r="O24" s="29" t="n">
        <x:v>0.350487</x:v>
      </x:c>
      <x:c r="P24" s="29" t="n">
        <x:v>49.386288</x:v>
      </x:c>
      <x:c r="Q24" s="29" t="str">
        <x:v>S8a</x:v>
      </x:c>
      <x:c r="R24" s="29" t="n">
        <x:v>30</x:v>
      </x:c>
      <x:c r="S24" s="29" t="n">
        <x:v>46</x:v>
      </x:c>
      <x:c r="T24" s="58" t="b">
        <x:v>1</x:v>
      </x:c>
      <x:c r="U24" s="29" t="str"/>
    </x:row>
    <x:row r="25">
      <x:c r="A25" s="29" t="str">
        <x:v>Pr</x:v>
      </x:c>
      <x:c r="B25" s="29" t="str">
        <x:v>P2-APEI</x:v>
      </x:c>
      <x:c r="C25" s="29" t="str">
        <x:v>Phosphorylated</x:v>
      </x:c>
      <x:c r="D25" s="29" t="str">
        <x:v>Single</x:v>
      </x:c>
      <x:c r="E25" s="29" t="n">
        <x:v>2</x:v>
      </x:c>
      <x:c r="F25" s="29" t="str">
        <x:v>Uptake kinetics</x:v>
      </x:c>
      <x:c r="G25" s="29" t="n">
        <x:v>5</x:v>
      </x:c>
      <x:c r="H25" s="29" t="n">
        <x:v>60</x:v>
      </x:c>
      <x:c r="I25" s="29" t="n">
        <x:v>50</x:v>
      </x:c>
      <x:c r="J25" s="29" t="n">
        <x:v>0.354842</x:v>
      </x:c>
      <x:c r="K25" s="29" t="n">
        <x:v>0.267221</x:v>
      </x:c>
      <x:c r="L25" s="29" t="n">
        <x:v>0.753069</x:v>
      </x:c>
      <x:c r="M25" s="29" t="n">
        <x:v>0.25</x:v>
      </x:c>
      <x:c r="N25" s="29" t="n">
        <x:v>22</x:v>
      </x:c>
      <x:c r="O25" s="29" t="n">
        <x:v>0.350487</x:v>
      </x:c>
      <x:c r="P25" s="29" t="n">
        <x:v>49.38629</x:v>
      </x:c>
      <x:c r="Q25" s="29" t="str">
        <x:v>S8a</x:v>
      </x:c>
      <x:c r="R25" s="29" t="n">
        <x:v>30</x:v>
      </x:c>
      <x:c r="S25" s="29" t="n">
        <x:v>47</x:v>
      </x:c>
      <x:c r="T25" s="58" t="b">
        <x:v>1</x:v>
      </x:c>
      <x:c r="U25" s="29" t="str"/>
    </x:row>
    <x:row r="26">
      <x:c r="A26" s="29" t="str">
        <x:v>Tm</x:v>
      </x:c>
      <x:c r="B26" s="29" t="str">
        <x:v>P2-APEI</x:v>
      </x:c>
      <x:c r="C26" s="29" t="str">
        <x:v>Phosphorylated</x:v>
      </x:c>
      <x:c r="D26" s="29" t="str">
        <x:v>Single</x:v>
      </x:c>
      <x:c r="E26" s="29" t="n">
        <x:v>1</x:v>
      </x:c>
      <x:c r="F26" s="29" t="str">
        <x:v>Uptake kinetics</x:v>
      </x:c>
      <x:c r="G26" s="29" t="n">
        <x:v>5</x:v>
      </x:c>
      <x:c r="H26" s="29" t="n">
        <x:v>0</x:v>
      </x:c>
      <x:c r="I26" s="29" t="n">
        <x:v>50</x:v>
      </x:c>
      <x:c r="J26" s="29" t="n">
        <x:v>0.295973</x:v>
      </x:c>
      <x:c r="K26" s="29" t="n">
        <x:v>0.295973</x:v>
      </x:c>
      <x:c r="L26" s="29" t="n">
        <x:v>1</x:v>
      </x:c>
      <x:c r="M26" s="29" t="n">
        <x:v>0.25</x:v>
      </x:c>
      <x:c r="N26" s="29" t="n">
        <x:v>22</x:v>
      </x:c>
      <x:c r="O26" s="29" t="n">
        <x:v>0</x:v>
      </x:c>
      <x:c r="P26" s="29" t="n">
        <x:v>0</x:v>
      </x:c>
      <x:c r="Q26" s="29" t="str">
        <x:v>S8a</x:v>
      </x:c>
      <x:c r="R26" s="29" t="n">
        <x:v>30</x:v>
      </x:c>
      <x:c r="S26" s="29" t="n">
        <x:v>60</x:v>
      </x:c>
      <x:c r="T26" s="58" t="b">
        <x:v>1</x:v>
      </x:c>
      <x:c r="U26" s="29" t="str"/>
    </x:row>
    <x:row r="27">
      <x:c r="A27" s="29" t="str">
        <x:v>Tm</x:v>
      </x:c>
      <x:c r="B27" s="29" t="str">
        <x:v>P2-APEI</x:v>
      </x:c>
      <x:c r="C27" s="29" t="str">
        <x:v>Phosphorylated</x:v>
      </x:c>
      <x:c r="D27" s="29" t="str">
        <x:v>Single</x:v>
      </x:c>
      <x:c r="E27" s="29" t="n">
        <x:v>1</x:v>
      </x:c>
      <x:c r="F27" s="29" t="str">
        <x:v>Uptake kinetics</x:v>
      </x:c>
      <x:c r="G27" s="29" t="n">
        <x:v>5</x:v>
      </x:c>
      <x:c r="H27" s="29" t="n">
        <x:v>2</x:v>
      </x:c>
      <x:c r="I27" s="29" t="n">
        <x:v>50</x:v>
      </x:c>
      <x:c r="J27" s="29" t="n">
        <x:v>0.295973</x:v>
      </x:c>
      <x:c r="K27" s="29" t="n">
        <x:v>0.284273</x:v>
      </x:c>
      <x:c r="L27" s="29" t="n">
        <x:v>0.960468</x:v>
      </x:c>
      <x:c r="M27" s="29" t="n">
        <x:v>0.25</x:v>
      </x:c>
      <x:c r="N27" s="29" t="n">
        <x:v>22</x:v>
      </x:c>
      <x:c r="O27" s="29" t="n">
        <x:v>0.046802</x:v>
      </x:c>
      <x:c r="P27" s="29" t="n">
        <x:v>7.906425</x:v>
      </x:c>
      <x:c r="Q27" s="29" t="str">
        <x:v>S8a</x:v>
      </x:c>
      <x:c r="R27" s="29" t="n">
        <x:v>30</x:v>
      </x:c>
      <x:c r="S27" s="29" t="n">
        <x:v>61</x:v>
      </x:c>
      <x:c r="T27" s="58" t="b">
        <x:v>1</x:v>
      </x:c>
      <x:c r="U27" s="29" t="str"/>
    </x:row>
    <x:row r="28">
      <x:c r="A28" s="29" t="str">
        <x:v>Tm</x:v>
      </x:c>
      <x:c r="B28" s="29" t="str">
        <x:v>P2-APEI</x:v>
      </x:c>
      <x:c r="C28" s="29" t="str">
        <x:v>Phosphorylated</x:v>
      </x:c>
      <x:c r="D28" s="29" t="str">
        <x:v>Single</x:v>
      </x:c>
      <x:c r="E28" s="29" t="n">
        <x:v>1</x:v>
      </x:c>
      <x:c r="F28" s="29" t="str">
        <x:v>Uptake kinetics</x:v>
      </x:c>
      <x:c r="G28" s="29" t="n">
        <x:v>5</x:v>
      </x:c>
      <x:c r="H28" s="29" t="n">
        <x:v>5</x:v>
      </x:c>
      <x:c r="I28" s="29" t="n">
        <x:v>50</x:v>
      </x:c>
      <x:c r="J28" s="29" t="n">
        <x:v>0.295973</x:v>
      </x:c>
      <x:c r="K28" s="29" t="n">
        <x:v>0.264719</x:v>
      </x:c>
      <x:c r="L28" s="29" t="n">
        <x:v>0.894403</x:v>
      </x:c>
      <x:c r="M28" s="29" t="n">
        <x:v>0.25</x:v>
      </x:c>
      <x:c r="N28" s="29" t="n">
        <x:v>22</x:v>
      </x:c>
      <x:c r="O28" s="29" t="n">
        <x:v>0.125016</x:v>
      </x:c>
      <x:c r="P28" s="29" t="n">
        <x:v>21.119421</x:v>
      </x:c>
      <x:c r="Q28" s="29" t="str">
        <x:v>S8a</x:v>
      </x:c>
      <x:c r="R28" s="29" t="n">
        <x:v>30</x:v>
      </x:c>
      <x:c r="S28" s="29" t="n">
        <x:v>62</x:v>
      </x:c>
      <x:c r="T28" s="58" t="b">
        <x:v>1</x:v>
      </x:c>
      <x:c r="U28" s="29" t="str"/>
    </x:row>
    <x:row r="29">
      <x:c r="A29" s="29" t="str">
        <x:v>Tm</x:v>
      </x:c>
      <x:c r="B29" s="29" t="str">
        <x:v>P2-APEI</x:v>
      </x:c>
      <x:c r="C29" s="29" t="str">
        <x:v>Phosphorylated</x:v>
      </x:c>
      <x:c r="D29" s="29" t="str">
        <x:v>Single</x:v>
      </x:c>
      <x:c r="E29" s="29" t="n">
        <x:v>1</x:v>
      </x:c>
      <x:c r="F29" s="29" t="str">
        <x:v>Uptake kinetics</x:v>
      </x:c>
      <x:c r="G29" s="29" t="n">
        <x:v>5</x:v>
      </x:c>
      <x:c r="H29" s="29" t="n">
        <x:v>10</x:v>
      </x:c>
      <x:c r="I29" s="29" t="n">
        <x:v>50</x:v>
      </x:c>
      <x:c r="J29" s="29" t="n">
        <x:v>0.295973</x:v>
      </x:c>
      <x:c r="K29" s="29" t="n">
        <x:v>0.250295</x:v>
      </x:c>
      <x:c r="L29" s="29" t="n">
        <x:v>0.845666</x:v>
      </x:c>
      <x:c r="M29" s="29" t="n">
        <x:v>0.25</x:v>
      </x:c>
      <x:c r="N29" s="29" t="n">
        <x:v>22</x:v>
      </x:c>
      <x:c r="O29" s="29" t="n">
        <x:v>0.182714</x:v>
      </x:c>
      <x:c r="P29" s="29" t="n">
        <x:v>30.866714</x:v>
      </x:c>
      <x:c r="Q29" s="29" t="str">
        <x:v>S8a</x:v>
      </x:c>
      <x:c r="R29" s="29" t="n">
        <x:v>30</x:v>
      </x:c>
      <x:c r="S29" s="29" t="n">
        <x:v>63</x:v>
      </x:c>
      <x:c r="T29" s="58" t="b">
        <x:v>1</x:v>
      </x:c>
      <x:c r="U29" s="29" t="str"/>
    </x:row>
    <x:row r="30">
      <x:c r="A30" s="29" t="str">
        <x:v>Tm</x:v>
      </x:c>
      <x:c r="B30" s="29" t="str">
        <x:v>P2-APEI</x:v>
      </x:c>
      <x:c r="C30" s="29" t="str">
        <x:v>Phosphorylated</x:v>
      </x:c>
      <x:c r="D30" s="29" t="str">
        <x:v>Single</x:v>
      </x:c>
      <x:c r="E30" s="29" t="n">
        <x:v>1</x:v>
      </x:c>
      <x:c r="F30" s="29" t="str">
        <x:v>Uptake kinetics</x:v>
      </x:c>
      <x:c r="G30" s="29" t="n">
        <x:v>5</x:v>
      </x:c>
      <x:c r="H30" s="29" t="n">
        <x:v>15</x:v>
      </x:c>
      <x:c r="I30" s="29" t="n">
        <x:v>50</x:v>
      </x:c>
      <x:c r="J30" s="29" t="n">
        <x:v>0.295973</x:v>
      </x:c>
      <x:c r="K30" s="29" t="n">
        <x:v>0.234908</x:v>
      </x:c>
      <x:c r="L30" s="29" t="n">
        <x:v>0.793681</x:v>
      </x:c>
      <x:c r="M30" s="29" t="n">
        <x:v>0.25</x:v>
      </x:c>
      <x:c r="N30" s="29" t="n">
        <x:v>22</x:v>
      </x:c>
      <x:c r="O30" s="29" t="n">
        <x:v>0.24426</x:v>
      </x:c>
      <x:c r="P30" s="29" t="n">
        <x:v>41.263825</x:v>
      </x:c>
      <x:c r="Q30" s="29" t="str">
        <x:v>S8a</x:v>
      </x:c>
      <x:c r="R30" s="29" t="n">
        <x:v>30</x:v>
      </x:c>
      <x:c r="S30" s="29" t="n">
        <x:v>64</x:v>
      </x:c>
      <x:c r="T30" s="58" t="b">
        <x:v>1</x:v>
      </x:c>
      <x:c r="U30" s="29" t="str"/>
    </x:row>
    <x:row r="31">
      <x:c r="A31" s="29" t="str">
        <x:v>Tm</x:v>
      </x:c>
      <x:c r="B31" s="29" t="str">
        <x:v>P2-APEI</x:v>
      </x:c>
      <x:c r="C31" s="29" t="str">
        <x:v>Phosphorylated</x:v>
      </x:c>
      <x:c r="D31" s="29" t="str">
        <x:v>Single</x:v>
      </x:c>
      <x:c r="E31" s="29" t="n">
        <x:v>1</x:v>
      </x:c>
      <x:c r="F31" s="29" t="str">
        <x:v>Uptake kinetics</x:v>
      </x:c>
      <x:c r="G31" s="29" t="n">
        <x:v>5</x:v>
      </x:c>
      <x:c r="H31" s="29" t="n">
        <x:v>20</x:v>
      </x:c>
      <x:c r="I31" s="29" t="n">
        <x:v>50</x:v>
      </x:c>
      <x:c r="J31" s="29" t="n">
        <x:v>0.295973</x:v>
      </x:c>
      <x:c r="K31" s="29" t="n">
        <x:v>0.232985</x:v>
      </x:c>
      <x:c r="L31" s="29" t="n">
        <x:v>0.787183</x:v>
      </x:c>
      <x:c r="M31" s="29" t="n">
        <x:v>0.25</x:v>
      </x:c>
      <x:c r="N31" s="29" t="n">
        <x:v>22</x:v>
      </x:c>
      <x:c r="O31" s="29" t="n">
        <x:v>0.251952</x:v>
      </x:c>
      <x:c r="P31" s="29" t="n">
        <x:v>42.563322</x:v>
      </x:c>
      <x:c r="Q31" s="29" t="str">
        <x:v>S8a</x:v>
      </x:c>
      <x:c r="R31" s="29" t="n">
        <x:v>30</x:v>
      </x:c>
      <x:c r="S31" s="29" t="n">
        <x:v>65</x:v>
      </x:c>
      <x:c r="T31" s="58" t="b">
        <x:v>1</x:v>
      </x:c>
      <x:c r="U31" s="29" t="str"/>
    </x:row>
    <x:row r="32">
      <x:c r="A32" s="29" t="str">
        <x:v>Tm</x:v>
      </x:c>
      <x:c r="B32" s="29" t="str">
        <x:v>P2-APEI</x:v>
      </x:c>
      <x:c r="C32" s="29" t="str">
        <x:v>Phosphorylated</x:v>
      </x:c>
      <x:c r="D32" s="29" t="str">
        <x:v>Single</x:v>
      </x:c>
      <x:c r="E32" s="29" t="n">
        <x:v>1</x:v>
      </x:c>
      <x:c r="F32" s="29" t="str">
        <x:v>Uptake kinetics</x:v>
      </x:c>
      <x:c r="G32" s="29" t="n">
        <x:v>5</x:v>
      </x:c>
      <x:c r="H32" s="29" t="n">
        <x:v>25</x:v>
      </x:c>
      <x:c r="I32" s="29" t="n">
        <x:v>50</x:v>
      </x:c>
      <x:c r="J32" s="29" t="n">
        <x:v>0.295973</x:v>
      </x:c>
      <x:c r="K32" s="29" t="n">
        <x:v>0.232344</x:v>
      </x:c>
      <x:c r="L32" s="29" t="n">
        <x:v>0.785017</x:v>
      </x:c>
      <x:c r="M32" s="29" t="n">
        <x:v>0.25</x:v>
      </x:c>
      <x:c r="N32" s="29" t="n">
        <x:v>22</x:v>
      </x:c>
      <x:c r="O32" s="29" t="n">
        <x:v>0.254516</x:v>
      </x:c>
      <x:c r="P32" s="29" t="n">
        <x:v>42.996536</x:v>
      </x:c>
      <x:c r="Q32" s="29" t="str">
        <x:v>S8a</x:v>
      </x:c>
      <x:c r="R32" s="29" t="n">
        <x:v>30</x:v>
      </x:c>
      <x:c r="S32" s="29" t="n">
        <x:v>66</x:v>
      </x:c>
      <x:c r="T32" s="58" t="b">
        <x:v>1</x:v>
      </x:c>
      <x:c r="U32" s="29" t="str"/>
    </x:row>
    <x:row r="33">
      <x:c r="A33" s="29" t="str">
        <x:v>Tm</x:v>
      </x:c>
      <x:c r="B33" s="29" t="str">
        <x:v>P2-APEI</x:v>
      </x:c>
      <x:c r="C33" s="29" t="str">
        <x:v>Phosphorylated</x:v>
      </x:c>
      <x:c r="D33" s="29" t="str">
        <x:v>Single</x:v>
      </x:c>
      <x:c r="E33" s="29" t="n">
        <x:v>1</x:v>
      </x:c>
      <x:c r="F33" s="29" t="str">
        <x:v>Uptake kinetics</x:v>
      </x:c>
      <x:c r="G33" s="29" t="n">
        <x:v>5</x:v>
      </x:c>
      <x:c r="H33" s="29" t="n">
        <x:v>30</x:v>
      </x:c>
      <x:c r="I33" s="29" t="n">
        <x:v>50</x:v>
      </x:c>
      <x:c r="J33" s="29" t="n">
        <x:v>0.295973</x:v>
      </x:c>
      <x:c r="K33" s="29" t="n">
        <x:v>0.232344</x:v>
      </x:c>
      <x:c r="L33" s="29" t="n">
        <x:v>0.785017</x:v>
      </x:c>
      <x:c r="M33" s="29" t="n">
        <x:v>0.25</x:v>
      </x:c>
      <x:c r="N33" s="29" t="n">
        <x:v>22</x:v>
      </x:c>
      <x:c r="O33" s="29" t="n">
        <x:v>0.254516</x:v>
      </x:c>
      <x:c r="P33" s="29" t="n">
        <x:v>42.996536</x:v>
      </x:c>
      <x:c r="Q33" s="29" t="str">
        <x:v>S8a</x:v>
      </x:c>
      <x:c r="R33" s="29" t="n">
        <x:v>30</x:v>
      </x:c>
      <x:c r="S33" s="29" t="n">
        <x:v>67</x:v>
      </x:c>
      <x:c r="T33" s="58" t="b">
        <x:v>1</x:v>
      </x:c>
      <x:c r="U33" s="29" t="str"/>
    </x:row>
    <x:row r="34">
      <x:c r="A34" s="29" t="str">
        <x:v>Tm</x:v>
      </x:c>
      <x:c r="B34" s="29" t="str">
        <x:v>P2-APEI</x:v>
      </x:c>
      <x:c r="C34" s="29" t="str">
        <x:v>Phosphorylated</x:v>
      </x:c>
      <x:c r="D34" s="29" t="str">
        <x:v>Single</x:v>
      </x:c>
      <x:c r="E34" s="29" t="n">
        <x:v>1</x:v>
      </x:c>
      <x:c r="F34" s="29" t="str">
        <x:v>Uptake kinetics</x:v>
      </x:c>
      <x:c r="G34" s="29" t="n">
        <x:v>5</x:v>
      </x:c>
      <x:c r="H34" s="29" t="n">
        <x:v>35</x:v>
      </x:c>
      <x:c r="I34" s="29" t="n">
        <x:v>50</x:v>
      </x:c>
      <x:c r="J34" s="29" t="n">
        <x:v>0.295973</x:v>
      </x:c>
      <x:c r="K34" s="29" t="n">
        <x:v>0.232344</x:v>
      </x:c>
      <x:c r="L34" s="29" t="n">
        <x:v>0.785017</x:v>
      </x:c>
      <x:c r="M34" s="29" t="n">
        <x:v>0.25</x:v>
      </x:c>
      <x:c r="N34" s="29" t="n">
        <x:v>22</x:v>
      </x:c>
      <x:c r="O34" s="29" t="n">
        <x:v>0.254516</x:v>
      </x:c>
      <x:c r="P34" s="29" t="n">
        <x:v>42.996536</x:v>
      </x:c>
      <x:c r="Q34" s="29" t="str">
        <x:v>S8a</x:v>
      </x:c>
      <x:c r="R34" s="29" t="n">
        <x:v>30</x:v>
      </x:c>
      <x:c r="S34" s="29" t="n">
        <x:v>68</x:v>
      </x:c>
      <x:c r="T34" s="58" t="b">
        <x:v>1</x:v>
      </x:c>
      <x:c r="U34" s="29" t="str"/>
    </x:row>
    <x:row r="35">
      <x:c r="A35" s="29" t="str">
        <x:v>Tm</x:v>
      </x:c>
      <x:c r="B35" s="29" t="str">
        <x:v>P2-APEI</x:v>
      </x:c>
      <x:c r="C35" s="29" t="str">
        <x:v>Phosphorylated</x:v>
      </x:c>
      <x:c r="D35" s="29" t="str">
        <x:v>Single</x:v>
      </x:c>
      <x:c r="E35" s="29" t="n">
        <x:v>1</x:v>
      </x:c>
      <x:c r="F35" s="29" t="str">
        <x:v>Uptake kinetics</x:v>
      </x:c>
      <x:c r="G35" s="29" t="n">
        <x:v>5</x:v>
      </x:c>
      <x:c r="H35" s="29" t="n">
        <x:v>40</x:v>
      </x:c>
      <x:c r="I35" s="29" t="n">
        <x:v>50</x:v>
      </x:c>
      <x:c r="J35" s="29" t="n">
        <x:v>0.295973</x:v>
      </x:c>
      <x:c r="K35" s="29" t="n">
        <x:v>0.232024</x:v>
      </x:c>
      <x:c r="L35" s="29" t="n">
        <x:v>0.783934</x:v>
      </x:c>
      <x:c r="M35" s="29" t="n">
        <x:v>0.25</x:v>
      </x:c>
      <x:c r="N35" s="29" t="n">
        <x:v>22</x:v>
      </x:c>
      <x:c r="O35" s="29" t="n">
        <x:v>0.255799</x:v>
      </x:c>
      <x:c r="P35" s="29" t="n">
        <x:v>43.213147</x:v>
      </x:c>
      <x:c r="Q35" s="29" t="str">
        <x:v>S8a</x:v>
      </x:c>
      <x:c r="R35" s="29" t="n">
        <x:v>30</x:v>
      </x:c>
      <x:c r="S35" s="29" t="n">
        <x:v>69</x:v>
      </x:c>
      <x:c r="T35" s="58" t="b">
        <x:v>1</x:v>
      </x:c>
      <x:c r="U35" s="29" t="str"/>
    </x:row>
    <x:row r="36">
      <x:c r="A36" s="29" t="str">
        <x:v>Tm</x:v>
      </x:c>
      <x:c r="B36" s="29" t="str">
        <x:v>P2-APEI</x:v>
      </x:c>
      <x:c r="C36" s="29" t="str">
        <x:v>Phosphorylated</x:v>
      </x:c>
      <x:c r="D36" s="29" t="str">
        <x:v>Single</x:v>
      </x:c>
      <x:c r="E36" s="29" t="n">
        <x:v>1</x:v>
      </x:c>
      <x:c r="F36" s="29" t="str">
        <x:v>Uptake kinetics</x:v>
      </x:c>
      <x:c r="G36" s="29" t="n">
        <x:v>5</x:v>
      </x:c>
      <x:c r="H36" s="29" t="n">
        <x:v>50</x:v>
      </x:c>
      <x:c r="I36" s="29" t="n">
        <x:v>50</x:v>
      </x:c>
      <x:c r="J36" s="29" t="n">
        <x:v>0.295973</x:v>
      </x:c>
      <x:c r="K36" s="29" t="n">
        <x:v>0.232344</x:v>
      </x:c>
      <x:c r="L36" s="29" t="n">
        <x:v>0.785017</x:v>
      </x:c>
      <x:c r="M36" s="29" t="n">
        <x:v>0.25</x:v>
      </x:c>
      <x:c r="N36" s="29" t="n">
        <x:v>22</x:v>
      </x:c>
      <x:c r="O36" s="29" t="n">
        <x:v>0.254516</x:v>
      </x:c>
      <x:c r="P36" s="29" t="n">
        <x:v>42.996543</x:v>
      </x:c>
      <x:c r="Q36" s="29" t="str">
        <x:v>S8a</x:v>
      </x:c>
      <x:c r="R36" s="29" t="n">
        <x:v>30</x:v>
      </x:c>
      <x:c r="S36" s="29" t="n">
        <x:v>70</x:v>
      </x:c>
      <x:c r="T36" s="58" t="b">
        <x:v>1</x:v>
      </x:c>
      <x:c r="U36" s="29" t="str"/>
    </x:row>
    <x:row r="37">
      <x:c r="A37" s="29" t="str">
        <x:v>Tm</x:v>
      </x:c>
      <x:c r="B37" s="29" t="str">
        <x:v>P2-APEI</x:v>
      </x:c>
      <x:c r="C37" s="29" t="str">
        <x:v>Phosphorylated</x:v>
      </x:c>
      <x:c r="D37" s="29" t="str">
        <x:v>Single</x:v>
      </x:c>
      <x:c r="E37" s="29" t="n">
        <x:v>1</x:v>
      </x:c>
      <x:c r="F37" s="29" t="str">
        <x:v>Uptake kinetics</x:v>
      </x:c>
      <x:c r="G37" s="29" t="n">
        <x:v>5</x:v>
      </x:c>
      <x:c r="H37" s="29" t="n">
        <x:v>60</x:v>
      </x:c>
      <x:c r="I37" s="29" t="n">
        <x:v>50</x:v>
      </x:c>
      <x:c r="J37" s="29" t="n">
        <x:v>0.295973</x:v>
      </x:c>
      <x:c r="K37" s="29" t="n">
        <x:v>0.232344</x:v>
      </x:c>
      <x:c r="L37" s="29" t="n">
        <x:v>0.785017</x:v>
      </x:c>
      <x:c r="M37" s="29" t="n">
        <x:v>0.25</x:v>
      </x:c>
      <x:c r="N37" s="29" t="n">
        <x:v>22</x:v>
      </x:c>
      <x:c r="O37" s="29" t="n">
        <x:v>0.254516</x:v>
      </x:c>
      <x:c r="P37" s="29" t="n">
        <x:v>42.996545</x:v>
      </x:c>
      <x:c r="Q37" s="29" t="str">
        <x:v>S8a</x:v>
      </x:c>
      <x:c r="R37" s="29" t="n">
        <x:v>30</x:v>
      </x:c>
      <x:c r="S37" s="29" t="n">
        <x:v>71</x:v>
      </x:c>
      <x:c r="T37" s="58" t="b">
        <x:v>1</x:v>
      </x:c>
      <x:c r="U37" s="29" t="str"/>
    </x:row>
    <x:row r="38">
      <x:c r="A38" s="29" t="str">
        <x:v>Tm</x:v>
      </x:c>
      <x:c r="B38" s="29" t="str">
        <x:v>P2-APEI</x:v>
      </x:c>
      <x:c r="C38" s="29" t="str">
        <x:v>Phosphorylated</x:v>
      </x:c>
      <x:c r="D38" s="29" t="str">
        <x:v>Single</x:v>
      </x:c>
      <x:c r="E38" s="29" t="n">
        <x:v>2</x:v>
      </x:c>
      <x:c r="F38" s="29" t="str">
        <x:v>Uptake kinetics</x:v>
      </x:c>
      <x:c r="G38" s="29" t="n">
        <x:v>5</x:v>
      </x:c>
      <x:c r="H38" s="29" t="n">
        <x:v>0</x:v>
      </x:c>
      <x:c r="I38" s="29" t="n">
        <x:v>50</x:v>
      </x:c>
      <x:c r="J38" s="29" t="n">
        <x:v>0.295973</x:v>
      </x:c>
      <x:c r="K38" s="29" t="n">
        <x:v>0.295973</x:v>
      </x:c>
      <x:c r="L38" s="29" t="n">
        <x:v>1</x:v>
      </x:c>
      <x:c r="M38" s="29" t="n">
        <x:v>0.25</x:v>
      </x:c>
      <x:c r="N38" s="29" t="n">
        <x:v>22</x:v>
      </x:c>
      <x:c r="O38" s="29" t="n">
        <x:v>0</x:v>
      </x:c>
      <x:c r="P38" s="29" t="n">
        <x:v>0</x:v>
      </x:c>
      <x:c r="Q38" s="29" t="str">
        <x:v>S8a</x:v>
      </x:c>
      <x:c r="R38" s="29" t="n">
        <x:v>30</x:v>
      </x:c>
      <x:c r="S38" s="29" t="n">
        <x:v>72</x:v>
      </x:c>
      <x:c r="T38" s="58" t="b">
        <x:v>1</x:v>
      </x:c>
      <x:c r="U38" s="29" t="str"/>
    </x:row>
    <x:row r="39">
      <x:c r="A39" s="29" t="str">
        <x:v>Tm</x:v>
      </x:c>
      <x:c r="B39" s="29" t="str">
        <x:v>P2-APEI</x:v>
      </x:c>
      <x:c r="C39" s="29" t="str">
        <x:v>Phosphorylated</x:v>
      </x:c>
      <x:c r="D39" s="29" t="str">
        <x:v>Single</x:v>
      </x:c>
      <x:c r="E39" s="29" t="n">
        <x:v>2</x:v>
      </x:c>
      <x:c r="F39" s="29" t="str">
        <x:v>Uptake kinetics</x:v>
      </x:c>
      <x:c r="G39" s="29" t="n">
        <x:v>5</x:v>
      </x:c>
      <x:c r="H39" s="29" t="n">
        <x:v>2</x:v>
      </x:c>
      <x:c r="I39" s="29" t="n">
        <x:v>50</x:v>
      </x:c>
      <x:c r="J39" s="29" t="n">
        <x:v>0.295973</x:v>
      </x:c>
      <x:c r="K39" s="29" t="n">
        <x:v>0.28828</x:v>
      </x:c>
      <x:c r="L39" s="29" t="n">
        <x:v>0.974006</x:v>
      </x:c>
      <x:c r="M39" s="29" t="n">
        <x:v>0.25</x:v>
      </x:c>
      <x:c r="N39" s="29" t="n">
        <x:v>22</x:v>
      </x:c>
      <x:c r="O39" s="29" t="n">
        <x:v>0.030774</x:v>
      </x:c>
      <x:c r="P39" s="29" t="n">
        <x:v>5.198845</x:v>
      </x:c>
      <x:c r="Q39" s="29" t="str">
        <x:v>S8a</x:v>
      </x:c>
      <x:c r="R39" s="29" t="n">
        <x:v>30</x:v>
      </x:c>
      <x:c r="S39" s="29" t="n">
        <x:v>73</x:v>
      </x:c>
      <x:c r="T39" s="58" t="b">
        <x:v>1</x:v>
      </x:c>
      <x:c r="U39" s="29" t="str"/>
    </x:row>
    <x:row r="40">
      <x:c r="A40" s="29" t="str">
        <x:v>Tm</x:v>
      </x:c>
      <x:c r="B40" s="29" t="str">
        <x:v>P2-APEI</x:v>
      </x:c>
      <x:c r="C40" s="29" t="str">
        <x:v>Phosphorylated</x:v>
      </x:c>
      <x:c r="D40" s="29" t="str">
        <x:v>Single</x:v>
      </x:c>
      <x:c r="E40" s="29" t="n">
        <x:v>2</x:v>
      </x:c>
      <x:c r="F40" s="29" t="str">
        <x:v>Uptake kinetics</x:v>
      </x:c>
      <x:c r="G40" s="29" t="n">
        <x:v>5</x:v>
      </x:c>
      <x:c r="H40" s="29" t="n">
        <x:v>5</x:v>
      </x:c>
      <x:c r="I40" s="29" t="n">
        <x:v>50</x:v>
      </x:c>
      <x:c r="J40" s="29" t="n">
        <x:v>0.295973</x:v>
      </x:c>
      <x:c r="K40" s="29" t="n">
        <x:v>0.2652</x:v>
      </x:c>
      <x:c r="L40" s="29" t="n">
        <x:v>0.896027</x:v>
      </x:c>
      <x:c r="M40" s="29" t="n">
        <x:v>0.25</x:v>
      </x:c>
      <x:c r="N40" s="29" t="n">
        <x:v>22</x:v>
      </x:c>
      <x:c r="O40" s="29" t="n">
        <x:v>0.123092</x:v>
      </x:c>
      <x:c r="P40" s="29" t="n">
        <x:v>20.794512</x:v>
      </x:c>
      <x:c r="Q40" s="29" t="str">
        <x:v>S8a</x:v>
      </x:c>
      <x:c r="R40" s="29" t="n">
        <x:v>30</x:v>
      </x:c>
      <x:c r="S40" s="29" t="n">
        <x:v>74</x:v>
      </x:c>
      <x:c r="T40" s="58" t="b">
        <x:v>1</x:v>
      </x:c>
      <x:c r="U40" s="29" t="str"/>
    </x:row>
    <x:row r="41">
      <x:c r="A41" s="29" t="str">
        <x:v>Tm</x:v>
      </x:c>
      <x:c r="B41" s="29" t="str">
        <x:v>P2-APEI</x:v>
      </x:c>
      <x:c r="C41" s="29" t="str">
        <x:v>Phosphorylated</x:v>
      </x:c>
      <x:c r="D41" s="29" t="str">
        <x:v>Single</x:v>
      </x:c>
      <x:c r="E41" s="29" t="n">
        <x:v>2</x:v>
      </x:c>
      <x:c r="F41" s="29" t="str">
        <x:v>Uptake kinetics</x:v>
      </x:c>
      <x:c r="G41" s="29" t="n">
        <x:v>5</x:v>
      </x:c>
      <x:c r="H41" s="29" t="n">
        <x:v>10</x:v>
      </x:c>
      <x:c r="I41" s="29" t="n">
        <x:v>50</x:v>
      </x:c>
      <x:c r="J41" s="29" t="n">
        <x:v>0.295973</x:v>
      </x:c>
      <x:c r="K41" s="29" t="n">
        <x:v>0.250134</x:v>
      </x:c>
      <x:c r="L41" s="29" t="n">
        <x:v>0.845125</x:v>
      </x:c>
      <x:c r="M41" s="29" t="n">
        <x:v>0.25</x:v>
      </x:c>
      <x:c r="N41" s="29" t="n">
        <x:v>22</x:v>
      </x:c>
      <x:c r="O41" s="29" t="n">
        <x:v>0.183355</x:v>
      </x:c>
      <x:c r="P41" s="29" t="n">
        <x:v>30.975017</x:v>
      </x:c>
      <x:c r="Q41" s="29" t="str">
        <x:v>S8a</x:v>
      </x:c>
      <x:c r="R41" s="29" t="n">
        <x:v>30</x:v>
      </x:c>
      <x:c r="S41" s="29" t="n">
        <x:v>75</x:v>
      </x:c>
      <x:c r="T41" s="58" t="b">
        <x:v>1</x:v>
      </x:c>
      <x:c r="U41" s="29" t="str"/>
    </x:row>
    <x:row r="42">
      <x:c r="A42" s="29" t="str">
        <x:v>Tm</x:v>
      </x:c>
      <x:c r="B42" s="29" t="str">
        <x:v>P2-APEI</x:v>
      </x:c>
      <x:c r="C42" s="29" t="str">
        <x:v>Phosphorylated</x:v>
      </x:c>
      <x:c r="D42" s="29" t="str">
        <x:v>Single</x:v>
      </x:c>
      <x:c r="E42" s="29" t="n">
        <x:v>2</x:v>
      </x:c>
      <x:c r="F42" s="29" t="str">
        <x:v>Uptake kinetics</x:v>
      </x:c>
      <x:c r="G42" s="29" t="n">
        <x:v>5</x:v>
      </x:c>
      <x:c r="H42" s="29" t="n">
        <x:v>15</x:v>
      </x:c>
      <x:c r="I42" s="29" t="n">
        <x:v>50</x:v>
      </x:c>
      <x:c r="J42" s="29" t="n">
        <x:v>0.295973</x:v>
      </x:c>
      <x:c r="K42" s="29" t="n">
        <x:v>0.233466</x:v>
      </x:c>
      <x:c r="L42" s="29" t="n">
        <x:v>0.788808</x:v>
      </x:c>
      <x:c r="M42" s="29" t="n">
        <x:v>0.25</x:v>
      </x:c>
      <x:c r="N42" s="29" t="n">
        <x:v>22</x:v>
      </x:c>
      <x:c r="O42" s="29" t="n">
        <x:v>0.250029</x:v>
      </x:c>
      <x:c r="P42" s="29" t="n">
        <x:v>42.23841</x:v>
      </x:c>
      <x:c r="Q42" s="29" t="str">
        <x:v>S8a</x:v>
      </x:c>
      <x:c r="R42" s="29" t="n">
        <x:v>30</x:v>
      </x:c>
      <x:c r="S42" s="29" t="n">
        <x:v>76</x:v>
      </x:c>
      <x:c r="T42" s="58" t="b">
        <x:v>1</x:v>
      </x:c>
      <x:c r="U42" s="29" t="str"/>
    </x:row>
    <x:row r="43">
      <x:c r="A43" s="29" t="str">
        <x:v>Tm</x:v>
      </x:c>
      <x:c r="B43" s="29" t="str">
        <x:v>P2-APEI</x:v>
      </x:c>
      <x:c r="C43" s="29" t="str">
        <x:v>Phosphorylated</x:v>
      </x:c>
      <x:c r="D43" s="29" t="str">
        <x:v>Single</x:v>
      </x:c>
      <x:c r="E43" s="29" t="n">
        <x:v>2</x:v>
      </x:c>
      <x:c r="F43" s="29" t="str">
        <x:v>Uptake kinetics</x:v>
      </x:c>
      <x:c r="G43" s="29" t="n">
        <x:v>5</x:v>
      </x:c>
      <x:c r="H43" s="29" t="n">
        <x:v>20</x:v>
      </x:c>
      <x:c r="I43" s="29" t="n">
        <x:v>50</x:v>
      </x:c>
      <x:c r="J43" s="29" t="n">
        <x:v>0.295973</x:v>
      </x:c>
      <x:c r="K43" s="29" t="n">
        <x:v>0.230902</x:v>
      </x:c>
      <x:c r="L43" s="29" t="n">
        <x:v>0.780144</x:v>
      </x:c>
      <x:c r="M43" s="29" t="n">
        <x:v>0.25</x:v>
      </x:c>
      <x:c r="N43" s="29" t="n">
        <x:v>22</x:v>
      </x:c>
      <x:c r="O43" s="29" t="n">
        <x:v>0.260285</x:v>
      </x:c>
      <x:c r="P43" s="29" t="n">
        <x:v>43.971119</x:v>
      </x:c>
      <x:c r="Q43" s="29" t="str">
        <x:v>S8a</x:v>
      </x:c>
      <x:c r="R43" s="29" t="n">
        <x:v>30</x:v>
      </x:c>
      <x:c r="S43" s="29" t="n">
        <x:v>77</x:v>
      </x:c>
      <x:c r="T43" s="58" t="b">
        <x:v>1</x:v>
      </x:c>
      <x:c r="U43" s="29" t="str"/>
    </x:row>
    <x:row r="44">
      <x:c r="A44" s="29" t="str">
        <x:v>Tm</x:v>
      </x:c>
      <x:c r="B44" s="29" t="str">
        <x:v>P2-APEI</x:v>
      </x:c>
      <x:c r="C44" s="29" t="str">
        <x:v>Phosphorylated</x:v>
      </x:c>
      <x:c r="D44" s="29" t="str">
        <x:v>Single</x:v>
      </x:c>
      <x:c r="E44" s="29" t="n">
        <x:v>2</x:v>
      </x:c>
      <x:c r="F44" s="29" t="str">
        <x:v>Uptake kinetics</x:v>
      </x:c>
      <x:c r="G44" s="29" t="n">
        <x:v>5</x:v>
      </x:c>
      <x:c r="H44" s="29" t="n">
        <x:v>25</x:v>
      </x:c>
      <x:c r="I44" s="29" t="n">
        <x:v>50</x:v>
      </x:c>
      <x:c r="J44" s="29" t="n">
        <x:v>0.295973</x:v>
      </x:c>
      <x:c r="K44" s="29" t="n">
        <x:v>0.230902</x:v>
      </x:c>
      <x:c r="L44" s="29" t="n">
        <x:v>0.780144</x:v>
      </x:c>
      <x:c r="M44" s="29" t="n">
        <x:v>0.25</x:v>
      </x:c>
      <x:c r="N44" s="29" t="n">
        <x:v>22</x:v>
      </x:c>
      <x:c r="O44" s="29" t="n">
        <x:v>0.260285</x:v>
      </x:c>
      <x:c r="P44" s="29" t="n">
        <x:v>43.971119</x:v>
      </x:c>
      <x:c r="Q44" s="29" t="str">
        <x:v>S8a</x:v>
      </x:c>
      <x:c r="R44" s="29" t="n">
        <x:v>30</x:v>
      </x:c>
      <x:c r="S44" s="29" t="n">
        <x:v>78</x:v>
      </x:c>
      <x:c r="T44" s="58" t="b">
        <x:v>1</x:v>
      </x:c>
      <x:c r="U44" s="29" t="str"/>
    </x:row>
    <x:row r="45">
      <x:c r="A45" s="29" t="str">
        <x:v>Tm</x:v>
      </x:c>
      <x:c r="B45" s="29" t="str">
        <x:v>P2-APEI</x:v>
      </x:c>
      <x:c r="C45" s="29" t="str">
        <x:v>Phosphorylated</x:v>
      </x:c>
      <x:c r="D45" s="29" t="str">
        <x:v>Single</x:v>
      </x:c>
      <x:c r="E45" s="29" t="n">
        <x:v>2</x:v>
      </x:c>
      <x:c r="F45" s="29" t="str">
        <x:v>Uptake kinetics</x:v>
      </x:c>
      <x:c r="G45" s="29" t="n">
        <x:v>5</x:v>
      </x:c>
      <x:c r="H45" s="29" t="n">
        <x:v>30</x:v>
      </x:c>
      <x:c r="I45" s="29" t="n">
        <x:v>50</x:v>
      </x:c>
      <x:c r="J45" s="29" t="n">
        <x:v>0.295973</x:v>
      </x:c>
      <x:c r="K45" s="29" t="n">
        <x:v>0.230581</x:v>
      </x:c>
      <x:c r="L45" s="29" t="n">
        <x:v>0.779061</x:v>
      </x:c>
      <x:c r="M45" s="29" t="n">
        <x:v>0.25</x:v>
      </x:c>
      <x:c r="N45" s="29" t="n">
        <x:v>22</x:v>
      </x:c>
      <x:c r="O45" s="29" t="n">
        <x:v>0.261568</x:v>
      </x:c>
      <x:c r="P45" s="29" t="n">
        <x:v>44.187728</x:v>
      </x:c>
      <x:c r="Q45" s="29" t="str">
        <x:v>S8a</x:v>
      </x:c>
      <x:c r="R45" s="29" t="n">
        <x:v>30</x:v>
      </x:c>
      <x:c r="S45" s="29" t="n">
        <x:v>79</x:v>
      </x:c>
      <x:c r="T45" s="58" t="b">
        <x:v>1</x:v>
      </x:c>
      <x:c r="U45" s="29" t="str"/>
    </x:row>
    <x:row r="46">
      <x:c r="A46" s="29" t="str">
        <x:v>Tm</x:v>
      </x:c>
      <x:c r="B46" s="29" t="str">
        <x:v>P2-APEI</x:v>
      </x:c>
      <x:c r="C46" s="29" t="str">
        <x:v>Phosphorylated</x:v>
      </x:c>
      <x:c r="D46" s="29" t="str">
        <x:v>Single</x:v>
      </x:c>
      <x:c r="E46" s="29" t="n">
        <x:v>2</x:v>
      </x:c>
      <x:c r="F46" s="29" t="str">
        <x:v>Uptake kinetics</x:v>
      </x:c>
      <x:c r="G46" s="29" t="n">
        <x:v>5</x:v>
      </x:c>
      <x:c r="H46" s="29" t="n">
        <x:v>35</x:v>
      </x:c>
      <x:c r="I46" s="29" t="n">
        <x:v>50</x:v>
      </x:c>
      <x:c r="J46" s="29" t="n">
        <x:v>0.295973</x:v>
      </x:c>
      <x:c r="K46" s="29" t="n">
        <x:v>0.230581</x:v>
      </x:c>
      <x:c r="L46" s="29" t="n">
        <x:v>0.779061</x:v>
      </x:c>
      <x:c r="M46" s="29" t="n">
        <x:v>0.25</x:v>
      </x:c>
      <x:c r="N46" s="29" t="n">
        <x:v>22</x:v>
      </x:c>
      <x:c r="O46" s="29" t="n">
        <x:v>0.261568</x:v>
      </x:c>
      <x:c r="P46" s="29" t="n">
        <x:v>44.187728</x:v>
      </x:c>
      <x:c r="Q46" s="29" t="str">
        <x:v>S8a</x:v>
      </x:c>
      <x:c r="R46" s="29" t="n">
        <x:v>30</x:v>
      </x:c>
      <x:c r="S46" s="29" t="n">
        <x:v>80</x:v>
      </x:c>
      <x:c r="T46" s="58" t="b">
        <x:v>1</x:v>
      </x:c>
      <x:c r="U46" s="29" t="str"/>
    </x:row>
    <x:row r="47">
      <x:c r="A47" s="29" t="str">
        <x:v>Tm</x:v>
      </x:c>
      <x:c r="B47" s="29" t="str">
        <x:v>P2-APEI</x:v>
      </x:c>
      <x:c r="C47" s="29" t="str">
        <x:v>Phosphorylated</x:v>
      </x:c>
      <x:c r="D47" s="29" t="str">
        <x:v>Single</x:v>
      </x:c>
      <x:c r="E47" s="29" t="n">
        <x:v>2</x:v>
      </x:c>
      <x:c r="F47" s="29" t="str">
        <x:v>Uptake kinetics</x:v>
      </x:c>
      <x:c r="G47" s="29" t="n">
        <x:v>5</x:v>
      </x:c>
      <x:c r="H47" s="29" t="n">
        <x:v>40</x:v>
      </x:c>
      <x:c r="I47" s="29" t="n">
        <x:v>50</x:v>
      </x:c>
      <x:c r="J47" s="29" t="n">
        <x:v>0.295973</x:v>
      </x:c>
      <x:c r="K47" s="29" t="n">
        <x:v>0.230581</x:v>
      </x:c>
      <x:c r="L47" s="29" t="n">
        <x:v>0.779061</x:v>
      </x:c>
      <x:c r="M47" s="29" t="n">
        <x:v>0.25</x:v>
      </x:c>
      <x:c r="N47" s="29" t="n">
        <x:v>22</x:v>
      </x:c>
      <x:c r="O47" s="29" t="n">
        <x:v>0.261568</x:v>
      </x:c>
      <x:c r="P47" s="29" t="n">
        <x:v>44.18773</x:v>
      </x:c>
      <x:c r="Q47" s="29" t="str">
        <x:v>S8a</x:v>
      </x:c>
      <x:c r="R47" s="29" t="n">
        <x:v>30</x:v>
      </x:c>
      <x:c r="S47" s="29" t="n">
        <x:v>81</x:v>
      </x:c>
      <x:c r="T47" s="58" t="b">
        <x:v>1</x:v>
      </x:c>
      <x:c r="U47" s="29" t="str"/>
    </x:row>
    <x:row r="48">
      <x:c r="A48" s="29" t="str">
        <x:v>Tm</x:v>
      </x:c>
      <x:c r="B48" s="29" t="str">
        <x:v>P2-APEI</x:v>
      </x:c>
      <x:c r="C48" s="29" t="str">
        <x:v>Phosphorylated</x:v>
      </x:c>
      <x:c r="D48" s="29" t="str">
        <x:v>Single</x:v>
      </x:c>
      <x:c r="E48" s="29" t="n">
        <x:v>2</x:v>
      </x:c>
      <x:c r="F48" s="29" t="str">
        <x:v>Uptake kinetics</x:v>
      </x:c>
      <x:c r="G48" s="29" t="n">
        <x:v>5</x:v>
      </x:c>
      <x:c r="H48" s="29" t="n">
        <x:v>50</x:v>
      </x:c>
      <x:c r="I48" s="29" t="n">
        <x:v>50</x:v>
      </x:c>
      <x:c r="J48" s="29" t="n">
        <x:v>0.295973</x:v>
      </x:c>
      <x:c r="K48" s="29" t="n">
        <x:v>0.230581</x:v>
      </x:c>
      <x:c r="L48" s="29" t="n">
        <x:v>0.779061</x:v>
      </x:c>
      <x:c r="M48" s="29" t="n">
        <x:v>0.25</x:v>
      </x:c>
      <x:c r="N48" s="29" t="n">
        <x:v>22</x:v>
      </x:c>
      <x:c r="O48" s="29" t="n">
        <x:v>0.261568</x:v>
      </x:c>
      <x:c r="P48" s="29" t="n">
        <x:v>44.187732</x:v>
      </x:c>
      <x:c r="Q48" s="29" t="str">
        <x:v>S8a</x:v>
      </x:c>
      <x:c r="R48" s="29" t="n">
        <x:v>30</x:v>
      </x:c>
      <x:c r="S48" s="29" t="n">
        <x:v>82</x:v>
      </x:c>
      <x:c r="T48" s="58" t="b">
        <x:v>1</x:v>
      </x:c>
      <x:c r="U48" s="29" t="str"/>
    </x:row>
    <x:row r="49">
      <x:c r="A49" s="29" t="str">
        <x:v>Tm</x:v>
      </x:c>
      <x:c r="B49" s="29" t="str">
        <x:v>P2-APEI</x:v>
      </x:c>
      <x:c r="C49" s="29" t="str">
        <x:v>Phosphorylated</x:v>
      </x:c>
      <x:c r="D49" s="29" t="str">
        <x:v>Single</x:v>
      </x:c>
      <x:c r="E49" s="29" t="n">
        <x:v>2</x:v>
      </x:c>
      <x:c r="F49" s="29" t="str">
        <x:v>Uptake kinetics</x:v>
      </x:c>
      <x:c r="G49" s="29" t="n">
        <x:v>5</x:v>
      </x:c>
      <x:c r="H49" s="29" t="n">
        <x:v>60</x:v>
      </x:c>
      <x:c r="I49" s="29" t="n">
        <x:v>50</x:v>
      </x:c>
      <x:c r="J49" s="29" t="n">
        <x:v>0.295973</x:v>
      </x:c>
      <x:c r="K49" s="29" t="n">
        <x:v>0.230581</x:v>
      </x:c>
      <x:c r="L49" s="29" t="n">
        <x:v>0.779061</x:v>
      </x:c>
      <x:c r="M49" s="29" t="n">
        <x:v>0.25</x:v>
      </x:c>
      <x:c r="N49" s="29" t="n">
        <x:v>22</x:v>
      </x:c>
      <x:c r="O49" s="29" t="n">
        <x:v>0.261568</x:v>
      </x:c>
      <x:c r="P49" s="29" t="n">
        <x:v>44.187735</x:v>
      </x:c>
      <x:c r="Q49" s="29" t="str">
        <x:v>S8a</x:v>
      </x:c>
      <x:c r="R49" s="29" t="n">
        <x:v>30</x:v>
      </x:c>
      <x:c r="S49" s="29" t="n">
        <x:v>83</x:v>
      </x:c>
      <x:c r="T49" s="58" t="b">
        <x:v>1</x:v>
      </x:c>
      <x:c r="U49" s="29" t="str"/>
    </x:row>
    <x:row r="50">
      <x:c r="A50" s="29" t="str">
        <x:v>Pr</x:v>
      </x:c>
      <x:c r="B50" s="29" t="str">
        <x:v>P2-APEI</x:v>
      </x:c>
      <x:c r="C50" s="29" t="str">
        <x:v>Phosphorylated</x:v>
      </x:c>
      <x:c r="D50" s="29" t="str">
        <x:v>Binary</x:v>
      </x:c>
      <x:c r="E50" s="29" t="n">
        <x:v>1</x:v>
      </x:c>
      <x:c r="F50" s="29" t="str">
        <x:v>Uptake kinetics</x:v>
      </x:c>
      <x:c r="G50" s="29" t="n">
        <x:v>5</x:v>
      </x:c>
      <x:c r="H50" s="29" t="n">
        <x:v>0</x:v>
      </x:c>
      <x:c r="I50" s="29" t="n">
        <x:v>50</x:v>
      </x:c>
      <x:c r="J50" s="29" t="n">
        <x:v>0.354842</x:v>
      </x:c>
      <x:c r="K50" s="29" t="n">
        <x:v>0.354842</x:v>
      </x:c>
      <x:c r="L50" s="29" t="n">
        <x:v>1</x:v>
      </x:c>
      <x:c r="M50" s="29" t="n">
        <x:v>0.25</x:v>
      </x:c>
      <x:c r="N50" s="29" t="n">
        <x:v>22</x:v>
      </x:c>
      <x:c r="O50" s="29" t="n">
        <x:v>0</x:v>
      </x:c>
      <x:c r="P50" s="29" t="n">
        <x:v>0</x:v>
      </x:c>
      <x:c r="Q50" s="29" t="str">
        <x:v>S8b</x:v>
      </x:c>
      <x:c r="R50" s="29" t="n">
        <x:v>31</x:v>
      </x:c>
      <x:c r="S50" s="29" t="n">
        <x:v>34</x:v>
      </x:c>
      <x:c r="T50" s="58" t="b">
        <x:v>1</x:v>
      </x:c>
      <x:c r="U50" s="29" t="str"/>
    </x:row>
    <x:row r="51">
      <x:c r="A51" s="29" t="str">
        <x:v>Pr</x:v>
      </x:c>
      <x:c r="B51" s="29" t="str">
        <x:v>P2-APEI</x:v>
      </x:c>
      <x:c r="C51" s="29" t="str">
        <x:v>Phosphorylated</x:v>
      </x:c>
      <x:c r="D51" s="29" t="str">
        <x:v>Binary</x:v>
      </x:c>
      <x:c r="E51" s="29" t="n">
        <x:v>1</x:v>
      </x:c>
      <x:c r="F51" s="29" t="str">
        <x:v>Uptake kinetics</x:v>
      </x:c>
      <x:c r="G51" s="29" t="n">
        <x:v>5</x:v>
      </x:c>
      <x:c r="H51" s="29" t="n">
        <x:v>2</x:v>
      </x:c>
      <x:c r="I51" s="29" t="n">
        <x:v>50</x:v>
      </x:c>
      <x:c r="J51" s="29" t="n">
        <x:v>0.354842</x:v>
      </x:c>
      <x:c r="K51" s="29" t="n">
        <x:v>0.348259</x:v>
      </x:c>
      <x:c r="L51" s="29" t="n">
        <x:v>0.981446</x:v>
      </x:c>
      <x:c r="M51" s="29" t="n">
        <x:v>0.25</x:v>
      </x:c>
      <x:c r="N51" s="29" t="n">
        <x:v>22</x:v>
      </x:c>
      <x:c r="O51" s="29" t="n">
        <x:v>0.026335</x:v>
      </x:c>
      <x:c r="P51" s="29" t="n">
        <x:v>3.710793</x:v>
      </x:c>
      <x:c r="Q51" s="29" t="str">
        <x:v>S8b</x:v>
      </x:c>
      <x:c r="R51" s="29" t="n">
        <x:v>31</x:v>
      </x:c>
      <x:c r="S51" s="29" t="n">
        <x:v>35</x:v>
      </x:c>
      <x:c r="T51" s="58" t="b">
        <x:v>1</x:v>
      </x:c>
      <x:c r="U51" s="29" t="str"/>
    </x:row>
    <x:row r="52">
      <x:c r="A52" s="29" t="str">
        <x:v>Pr</x:v>
      </x:c>
      <x:c r="B52" s="29" t="str">
        <x:v>P2-APEI</x:v>
      </x:c>
      <x:c r="C52" s="29" t="str">
        <x:v>Phosphorylated</x:v>
      </x:c>
      <x:c r="D52" s="29" t="str">
        <x:v>Binary</x:v>
      </x:c>
      <x:c r="E52" s="29" t="n">
        <x:v>1</x:v>
      </x:c>
      <x:c r="F52" s="29" t="str">
        <x:v>Uptake kinetics</x:v>
      </x:c>
      <x:c r="G52" s="29" t="n">
        <x:v>5</x:v>
      </x:c>
      <x:c r="H52" s="29" t="n">
        <x:v>5</x:v>
      </x:c>
      <x:c r="I52" s="29" t="n">
        <x:v>50</x:v>
      </x:c>
      <x:c r="J52" s="29" t="n">
        <x:v>0.354842</x:v>
      </x:c>
      <x:c r="K52" s="29" t="n">
        <x:v>0.335272</x:v>
      </x:c>
      <x:c r="L52" s="29" t="n">
        <x:v>0.944848</x:v>
      </x:c>
      <x:c r="M52" s="29" t="n">
        <x:v>0.25</x:v>
      </x:c>
      <x:c r="N52" s="29" t="n">
        <x:v>22</x:v>
      </x:c>
      <x:c r="O52" s="29" t="n">
        <x:v>0.078281</x:v>
      </x:c>
      <x:c r="P52" s="29" t="n">
        <x:v>11.03038</x:v>
      </x:c>
      <x:c r="Q52" s="29" t="str">
        <x:v>S8b</x:v>
      </x:c>
      <x:c r="R52" s="29" t="n">
        <x:v>31</x:v>
      </x:c>
      <x:c r="S52" s="29" t="n">
        <x:v>36</x:v>
      </x:c>
      <x:c r="T52" s="58" t="b">
        <x:v>1</x:v>
      </x:c>
      <x:c r="U52" s="29" t="str"/>
    </x:row>
    <x:row r="53">
      <x:c r="A53" s="29" t="str">
        <x:v>Pr</x:v>
      </x:c>
      <x:c r="B53" s="29" t="str">
        <x:v>P2-APEI</x:v>
      </x:c>
      <x:c r="C53" s="29" t="str">
        <x:v>Phosphorylated</x:v>
      </x:c>
      <x:c r="D53" s="29" t="str">
        <x:v>Binary</x:v>
      </x:c>
      <x:c r="E53" s="29" t="n">
        <x:v>1</x:v>
      </x:c>
      <x:c r="F53" s="29" t="str">
        <x:v>Uptake kinetics</x:v>
      </x:c>
      <x:c r="G53" s="29" t="n">
        <x:v>5</x:v>
      </x:c>
      <x:c r="H53" s="29" t="n">
        <x:v>10</x:v>
      </x:c>
      <x:c r="I53" s="29" t="n">
        <x:v>50</x:v>
      </x:c>
      <x:c r="J53" s="29" t="n">
        <x:v>0.354842</x:v>
      </x:c>
      <x:c r="K53" s="29" t="n">
        <x:v>0.326127</x:v>
      </x:c>
      <x:c r="L53" s="29" t="n">
        <x:v>0.919075</x:v>
      </x:c>
      <x:c r="M53" s="29" t="n">
        <x:v>0.25</x:v>
      </x:c>
      <x:c r="N53" s="29" t="n">
        <x:v>22</x:v>
      </x:c>
      <x:c r="O53" s="29" t="n">
        <x:v>0.114863</x:v>
      </x:c>
      <x:c r="P53" s="29" t="n">
        <x:v>16.185018</x:v>
      </x:c>
      <x:c r="Q53" s="29" t="str">
        <x:v>S8b</x:v>
      </x:c>
      <x:c r="R53" s="29" t="n">
        <x:v>31</x:v>
      </x:c>
      <x:c r="S53" s="29" t="n">
        <x:v>37</x:v>
      </x:c>
      <x:c r="T53" s="58" t="b">
        <x:v>1</x:v>
      </x:c>
      <x:c r="U53" s="29" t="str"/>
    </x:row>
    <x:row r="54">
      <x:c r="A54" s="29" t="str">
        <x:v>Pr</x:v>
      </x:c>
      <x:c r="B54" s="29" t="str">
        <x:v>P2-APEI</x:v>
      </x:c>
      <x:c r="C54" s="29" t="str">
        <x:v>Phosphorylated</x:v>
      </x:c>
      <x:c r="D54" s="29" t="str">
        <x:v>Binary</x:v>
      </x:c>
      <x:c r="E54" s="29" t="n">
        <x:v>1</x:v>
      </x:c>
      <x:c r="F54" s="29" t="str">
        <x:v>Uptake kinetics</x:v>
      </x:c>
      <x:c r="G54" s="29" t="n">
        <x:v>5</x:v>
      </x:c>
      <x:c r="H54" s="29" t="n">
        <x:v>15</x:v>
      </x:c>
      <x:c r="I54" s="29" t="n">
        <x:v>50</x:v>
      </x:c>
      <x:c r="J54" s="29" t="n">
        <x:v>0.354842</x:v>
      </x:c>
      <x:c r="K54" s="29" t="n">
        <x:v>0.313505</x:v>
      </x:c>
      <x:c r="L54" s="29" t="n">
        <x:v>0.883505</x:v>
      </x:c>
      <x:c r="M54" s="29" t="n">
        <x:v>0.25</x:v>
      </x:c>
      <x:c r="N54" s="29" t="n">
        <x:v>22</x:v>
      </x:c>
      <x:c r="O54" s="29" t="n">
        <x:v>0.165349</x:v>
      </x:c>
      <x:c r="P54" s="29" t="n">
        <x:v>23.298965</x:v>
      </x:c>
      <x:c r="Q54" s="29" t="str">
        <x:v>S8b</x:v>
      </x:c>
      <x:c r="R54" s="29" t="n">
        <x:v>31</x:v>
      </x:c>
      <x:c r="S54" s="29" t="n">
        <x:v>38</x:v>
      </x:c>
      <x:c r="T54" s="58" t="b">
        <x:v>1</x:v>
      </x:c>
      <x:c r="U54" s="29" t="str"/>
    </x:row>
    <x:row r="55">
      <x:c r="A55" s="29" t="str">
        <x:v>Pr</x:v>
      </x:c>
      <x:c r="B55" s="29" t="str">
        <x:v>P2-APEI</x:v>
      </x:c>
      <x:c r="C55" s="29" t="str">
        <x:v>Phosphorylated</x:v>
      </x:c>
      <x:c r="D55" s="29" t="str">
        <x:v>Binary</x:v>
      </x:c>
      <x:c r="E55" s="29" t="n">
        <x:v>1</x:v>
      </x:c>
      <x:c r="F55" s="29" t="str">
        <x:v>Uptake kinetics</x:v>
      </x:c>
      <x:c r="G55" s="29" t="n">
        <x:v>5</x:v>
      </x:c>
      <x:c r="H55" s="29" t="n">
        <x:v>20</x:v>
      </x:c>
      <x:c r="I55" s="29" t="n">
        <x:v>50</x:v>
      </x:c>
      <x:c r="J55" s="29" t="n">
        <x:v>0.354842</x:v>
      </x:c>
      <x:c r="K55" s="29" t="n">
        <x:v>0.307103</x:v>
      </x:c>
      <x:c r="L55" s="29" t="n">
        <x:v>0.865464</x:v>
      </x:c>
      <x:c r="M55" s="29" t="n">
        <x:v>0.25</x:v>
      </x:c>
      <x:c r="N55" s="29" t="n">
        <x:v>22</x:v>
      </x:c>
      <x:c r="O55" s="29" t="n">
        <x:v>0.190956</x:v>
      </x:c>
      <x:c r="P55" s="29" t="n">
        <x:v>26.907214</x:v>
      </x:c>
      <x:c r="Q55" s="29" t="str">
        <x:v>S8b</x:v>
      </x:c>
      <x:c r="R55" s="29" t="n">
        <x:v>31</x:v>
      </x:c>
      <x:c r="S55" s="29" t="n">
        <x:v>39</x:v>
      </x:c>
      <x:c r="T55" s="58" t="b">
        <x:v>1</x:v>
      </x:c>
      <x:c r="U55" s="29" t="str"/>
    </x:row>
    <x:row r="56">
      <x:c r="A56" s="29" t="str">
        <x:v>Pr</x:v>
      </x:c>
      <x:c r="B56" s="29" t="str">
        <x:v>P2-APEI</x:v>
      </x:c>
      <x:c r="C56" s="29" t="str">
        <x:v>Phosphorylated</x:v>
      </x:c>
      <x:c r="D56" s="29" t="str">
        <x:v>Binary</x:v>
      </x:c>
      <x:c r="E56" s="29" t="n">
        <x:v>1</x:v>
      </x:c>
      <x:c r="F56" s="29" t="str">
        <x:v>Uptake kinetics</x:v>
      </x:c>
      <x:c r="G56" s="29" t="n">
        <x:v>5</x:v>
      </x:c>
      <x:c r="H56" s="29" t="n">
        <x:v>25</x:v>
      </x:c>
      <x:c r="I56" s="29" t="n">
        <x:v>50</x:v>
      </x:c>
      <x:c r="J56" s="29" t="n">
        <x:v>0.354842</x:v>
      </x:c>
      <x:c r="K56" s="29" t="n">
        <x:v>0.306737</x:v>
      </x:c>
      <x:c r="L56" s="29" t="n">
        <x:v>0.864433</x:v>
      </x:c>
      <x:c r="M56" s="29" t="n">
        <x:v>0.25</x:v>
      </x:c>
      <x:c r="N56" s="29" t="n">
        <x:v>22</x:v>
      </x:c>
      <x:c r="O56" s="29" t="n">
        <x:v>0.19242</x:v>
      </x:c>
      <x:c r="P56" s="29" t="n">
        <x:v>27.113401</x:v>
      </x:c>
      <x:c r="Q56" s="29" t="str">
        <x:v>S8b</x:v>
      </x:c>
      <x:c r="R56" s="29" t="n">
        <x:v>31</x:v>
      </x:c>
      <x:c r="S56" s="29" t="n">
        <x:v>40</x:v>
      </x:c>
      <x:c r="T56" s="58" t="b">
        <x:v>1</x:v>
      </x:c>
      <x:c r="U56" s="29" t="str"/>
    </x:row>
    <x:row r="57">
      <x:c r="A57" s="29" t="str">
        <x:v>Pr</x:v>
      </x:c>
      <x:c r="B57" s="29" t="str">
        <x:v>P2-APEI</x:v>
      </x:c>
      <x:c r="C57" s="29" t="str">
        <x:v>Phosphorylated</x:v>
      </x:c>
      <x:c r="D57" s="29" t="str">
        <x:v>Binary</x:v>
      </x:c>
      <x:c r="E57" s="29" t="n">
        <x:v>1</x:v>
      </x:c>
      <x:c r="F57" s="29" t="str">
        <x:v>Uptake kinetics</x:v>
      </x:c>
      <x:c r="G57" s="29" t="n">
        <x:v>5</x:v>
      </x:c>
      <x:c r="H57" s="29" t="n">
        <x:v>30</x:v>
      </x:c>
      <x:c r="I57" s="29" t="n">
        <x:v>50</x:v>
      </x:c>
      <x:c r="J57" s="29" t="n">
        <x:v>0.354842</x:v>
      </x:c>
      <x:c r="K57" s="29" t="n">
        <x:v>0.306372</x:v>
      </x:c>
      <x:c r="L57" s="29" t="n">
        <x:v>0.863402</x:v>
      </x:c>
      <x:c r="M57" s="29" t="n">
        <x:v>0.25</x:v>
      </x:c>
      <x:c r="N57" s="29" t="n">
        <x:v>22</x:v>
      </x:c>
      <x:c r="O57" s="29" t="n">
        <x:v>0.193883</x:v>
      </x:c>
      <x:c r="P57" s="29" t="n">
        <x:v>27.319585</x:v>
      </x:c>
      <x:c r="Q57" s="29" t="str">
        <x:v>S8b</x:v>
      </x:c>
      <x:c r="R57" s="29" t="n">
        <x:v>31</x:v>
      </x:c>
      <x:c r="S57" s="29" t="n">
        <x:v>41</x:v>
      </x:c>
      <x:c r="T57" s="58" t="b">
        <x:v>1</x:v>
      </x:c>
      <x:c r="U57" s="29" t="str"/>
    </x:row>
    <x:row r="58">
      <x:c r="A58" s="29" t="str">
        <x:v>Pr</x:v>
      </x:c>
      <x:c r="B58" s="29" t="str">
        <x:v>P2-APEI</x:v>
      </x:c>
      <x:c r="C58" s="29" t="str">
        <x:v>Phosphorylated</x:v>
      </x:c>
      <x:c r="D58" s="29" t="str">
        <x:v>Binary</x:v>
      </x:c>
      <x:c r="E58" s="29" t="n">
        <x:v>1</x:v>
      </x:c>
      <x:c r="F58" s="29" t="str">
        <x:v>Uptake kinetics</x:v>
      </x:c>
      <x:c r="G58" s="29" t="n">
        <x:v>5</x:v>
      </x:c>
      <x:c r="H58" s="29" t="n">
        <x:v>35</x:v>
      </x:c>
      <x:c r="I58" s="29" t="n">
        <x:v>50</x:v>
      </x:c>
      <x:c r="J58" s="29" t="n">
        <x:v>0.354842</x:v>
      </x:c>
      <x:c r="K58" s="29" t="n">
        <x:v>0.306554</x:v>
      </x:c>
      <x:c r="L58" s="29" t="n">
        <x:v>0.863918</x:v>
      </x:c>
      <x:c r="M58" s="29" t="n">
        <x:v>0.25</x:v>
      </x:c>
      <x:c r="N58" s="29" t="n">
        <x:v>22</x:v>
      </x:c>
      <x:c r="O58" s="29" t="n">
        <x:v>0.193151</x:v>
      </x:c>
      <x:c r="P58" s="29" t="n">
        <x:v>27.216494</x:v>
      </x:c>
      <x:c r="Q58" s="29" t="str">
        <x:v>S8b</x:v>
      </x:c>
      <x:c r="R58" s="29" t="n">
        <x:v>31</x:v>
      </x:c>
      <x:c r="S58" s="29" t="n">
        <x:v>42</x:v>
      </x:c>
      <x:c r="T58" s="58" t="b">
        <x:v>1</x:v>
      </x:c>
      <x:c r="U58" s="29" t="str"/>
    </x:row>
    <x:row r="59">
      <x:c r="A59" s="29" t="str">
        <x:v>Pr</x:v>
      </x:c>
      <x:c r="B59" s="29" t="str">
        <x:v>P2-APEI</x:v>
      </x:c>
      <x:c r="C59" s="29" t="str">
        <x:v>Phosphorylated</x:v>
      </x:c>
      <x:c r="D59" s="29" t="str">
        <x:v>Binary</x:v>
      </x:c>
      <x:c r="E59" s="29" t="n">
        <x:v>1</x:v>
      </x:c>
      <x:c r="F59" s="29" t="str">
        <x:v>Uptake kinetics</x:v>
      </x:c>
      <x:c r="G59" s="29" t="n">
        <x:v>5</x:v>
      </x:c>
      <x:c r="H59" s="29" t="n">
        <x:v>40</x:v>
      </x:c>
      <x:c r="I59" s="29" t="n">
        <x:v>50</x:v>
      </x:c>
      <x:c r="J59" s="29" t="n">
        <x:v>0.354842</x:v>
      </x:c>
      <x:c r="K59" s="29" t="n">
        <x:v>0.306372</x:v>
      </x:c>
      <x:c r="L59" s="29" t="n">
        <x:v>0.863402</x:v>
      </x:c>
      <x:c r="M59" s="29" t="n">
        <x:v>0.25</x:v>
      </x:c>
      <x:c r="N59" s="29" t="n">
        <x:v>22</x:v>
      </x:c>
      <x:c r="O59" s="29" t="n">
        <x:v>0.193883</x:v>
      </x:c>
      <x:c r="P59" s="29" t="n">
        <x:v>27.319587</x:v>
      </x:c>
      <x:c r="Q59" s="29" t="str">
        <x:v>S8b</x:v>
      </x:c>
      <x:c r="R59" s="29" t="n">
        <x:v>31</x:v>
      </x:c>
      <x:c r="S59" s="29" t="n">
        <x:v>43</x:v>
      </x:c>
      <x:c r="T59" s="58" t="b">
        <x:v>1</x:v>
      </x:c>
      <x:c r="U59" s="29" t="str"/>
    </x:row>
    <x:row r="60">
      <x:c r="A60" s="29" t="str">
        <x:v>Pr</x:v>
      </x:c>
      <x:c r="B60" s="29" t="str">
        <x:v>P2-APEI</x:v>
      </x:c>
      <x:c r="C60" s="29" t="str">
        <x:v>Phosphorylated</x:v>
      </x:c>
      <x:c r="D60" s="29" t="str">
        <x:v>Binary</x:v>
      </x:c>
      <x:c r="E60" s="29" t="n">
        <x:v>1</x:v>
      </x:c>
      <x:c r="F60" s="29" t="str">
        <x:v>Uptake kinetics</x:v>
      </x:c>
      <x:c r="G60" s="29" t="n">
        <x:v>5</x:v>
      </x:c>
      <x:c r="H60" s="29" t="n">
        <x:v>50</x:v>
      </x:c>
      <x:c r="I60" s="29" t="n">
        <x:v>50</x:v>
      </x:c>
      <x:c r="J60" s="29" t="n">
        <x:v>0.354842</x:v>
      </x:c>
      <x:c r="K60" s="29" t="n">
        <x:v>0.306372</x:v>
      </x:c>
      <x:c r="L60" s="29" t="n">
        <x:v>0.863402</x:v>
      </x:c>
      <x:c r="M60" s="29" t="n">
        <x:v>0.25</x:v>
      </x:c>
      <x:c r="N60" s="29" t="n">
        <x:v>22</x:v>
      </x:c>
      <x:c r="O60" s="29" t="n">
        <x:v>0.193883</x:v>
      </x:c>
      <x:c r="P60" s="29" t="n">
        <x:v>27.319587</x:v>
      </x:c>
      <x:c r="Q60" s="29" t="str">
        <x:v>S8b</x:v>
      </x:c>
      <x:c r="R60" s="29" t="n">
        <x:v>31</x:v>
      </x:c>
      <x:c r="S60" s="29" t="n">
        <x:v>44</x:v>
      </x:c>
      <x:c r="T60" s="58" t="b">
        <x:v>1</x:v>
      </x:c>
      <x:c r="U60" s="29" t="str"/>
    </x:row>
    <x:row r="61">
      <x:c r="A61" s="29" t="str">
        <x:v>Pr</x:v>
      </x:c>
      <x:c r="B61" s="29" t="str">
        <x:v>P2-APEI</x:v>
      </x:c>
      <x:c r="C61" s="29" t="str">
        <x:v>Phosphorylated</x:v>
      </x:c>
      <x:c r="D61" s="29" t="str">
        <x:v>Binary</x:v>
      </x:c>
      <x:c r="E61" s="29" t="n">
        <x:v>1</x:v>
      </x:c>
      <x:c r="F61" s="29" t="str">
        <x:v>Uptake kinetics</x:v>
      </x:c>
      <x:c r="G61" s="29" t="n">
        <x:v>5</x:v>
      </x:c>
      <x:c r="H61" s="29" t="n">
        <x:v>60</x:v>
      </x:c>
      <x:c r="I61" s="29" t="n">
        <x:v>50</x:v>
      </x:c>
      <x:c r="J61" s="29" t="n">
        <x:v>0.354842</x:v>
      </x:c>
      <x:c r="K61" s="29" t="n">
        <x:v>0.306372</x:v>
      </x:c>
      <x:c r="L61" s="29" t="n">
        <x:v>0.863402</x:v>
      </x:c>
      <x:c r="M61" s="29" t="n">
        <x:v>0.25</x:v>
      </x:c>
      <x:c r="N61" s="29" t="n">
        <x:v>22</x:v>
      </x:c>
      <x:c r="O61" s="29" t="n">
        <x:v>0.193883</x:v>
      </x:c>
      <x:c r="P61" s="29" t="n">
        <x:v>27.319587</x:v>
      </x:c>
      <x:c r="Q61" s="29" t="str">
        <x:v>S8b</x:v>
      </x:c>
      <x:c r="R61" s="29" t="n">
        <x:v>31</x:v>
      </x:c>
      <x:c r="S61" s="29" t="n">
        <x:v>45</x:v>
      </x:c>
      <x:c r="T61" s="58" t="b">
        <x:v>1</x:v>
      </x:c>
      <x:c r="U61" s="29" t="str"/>
    </x:row>
    <x:row r="62">
      <x:c r="A62" s="29" t="str">
        <x:v>Tm</x:v>
      </x:c>
      <x:c r="B62" s="29" t="str">
        <x:v>P2-APEI</x:v>
      </x:c>
      <x:c r="C62" s="29" t="str">
        <x:v>Phosphorylated</x:v>
      </x:c>
      <x:c r="D62" s="29" t="str">
        <x:v>Binary</x:v>
      </x:c>
      <x:c r="E62" s="29" t="n">
        <x:v>1</x:v>
      </x:c>
      <x:c r="F62" s="29" t="str">
        <x:v>Uptake kinetics</x:v>
      </x:c>
      <x:c r="G62" s="29" t="n">
        <x:v>5</x:v>
      </x:c>
      <x:c r="H62" s="29" t="n">
        <x:v>0</x:v>
      </x:c>
      <x:c r="I62" s="29" t="n">
        <x:v>50</x:v>
      </x:c>
      <x:c r="J62" s="29" t="n">
        <x:v>0.295973</x:v>
      </x:c>
      <x:c r="K62" s="29" t="n">
        <x:v>0.295973</x:v>
      </x:c>
      <x:c r="L62" s="29" t="n">
        <x:v>1</x:v>
      </x:c>
      <x:c r="M62" s="29" t="n">
        <x:v>0.25</x:v>
      </x:c>
      <x:c r="N62" s="29" t="n">
        <x:v>22</x:v>
      </x:c>
      <x:c r="O62" s="29" t="n">
        <x:v>0</x:v>
      </x:c>
      <x:c r="P62" s="29" t="n">
        <x:v>0</x:v>
      </x:c>
      <x:c r="Q62" s="29" t="str">
        <x:v>S8b</x:v>
      </x:c>
      <x:c r="R62" s="29" t="n">
        <x:v>31</x:v>
      </x:c>
      <x:c r="S62" s="29" t="n">
        <x:v>46</x:v>
      </x:c>
      <x:c r="T62" s="58" t="b">
        <x:v>1</x:v>
      </x:c>
      <x:c r="U62" s="29" t="str"/>
    </x:row>
    <x:row r="63">
      <x:c r="A63" s="29" t="str">
        <x:v>Tm</x:v>
      </x:c>
      <x:c r="B63" s="29" t="str">
        <x:v>P2-APEI</x:v>
      </x:c>
      <x:c r="C63" s="29" t="str">
        <x:v>Phosphorylated</x:v>
      </x:c>
      <x:c r="D63" s="29" t="str">
        <x:v>Binary</x:v>
      </x:c>
      <x:c r="E63" s="29" t="n">
        <x:v>1</x:v>
      </x:c>
      <x:c r="F63" s="29" t="str">
        <x:v>Uptake kinetics</x:v>
      </x:c>
      <x:c r="G63" s="29" t="n">
        <x:v>5</x:v>
      </x:c>
      <x:c r="H63" s="29" t="n">
        <x:v>2</x:v>
      </x:c>
      <x:c r="I63" s="29" t="n">
        <x:v>50</x:v>
      </x:c>
      <x:c r="J63" s="29" t="n">
        <x:v>0.295973</x:v>
      </x:c>
      <x:c r="K63" s="29" t="n">
        <x:v>0.286515</x:v>
      </x:c>
      <x:c r="L63" s="29" t="n">
        <x:v>0.968044</x:v>
      </x:c>
      <x:c r="M63" s="29" t="n">
        <x:v>0.25</x:v>
      </x:c>
      <x:c r="N63" s="29" t="n">
        <x:v>22</x:v>
      </x:c>
      <x:c r="O63" s="29" t="n">
        <x:v>0.037833</x:v>
      </x:c>
      <x:c r="P63" s="29" t="n">
        <x:v>6.391205</x:v>
      </x:c>
      <x:c r="Q63" s="29" t="str">
        <x:v>S8b</x:v>
      </x:c>
      <x:c r="R63" s="29" t="n">
        <x:v>31</x:v>
      </x:c>
      <x:c r="S63" s="29" t="n">
        <x:v>47</x:v>
      </x:c>
      <x:c r="T63" s="58" t="b">
        <x:v>1</x:v>
      </x:c>
      <x:c r="U63" s="29" t="str"/>
    </x:row>
    <x:row r="64">
      <x:c r="A64" s="29" t="str">
        <x:v>Tm</x:v>
      </x:c>
      <x:c r="B64" s="29" t="str">
        <x:v>P2-APEI</x:v>
      </x:c>
      <x:c r="C64" s="29" t="str">
        <x:v>Phosphorylated</x:v>
      </x:c>
      <x:c r="D64" s="29" t="str">
        <x:v>Binary</x:v>
      </x:c>
      <x:c r="E64" s="29" t="n">
        <x:v>1</x:v>
      </x:c>
      <x:c r="F64" s="29" t="str">
        <x:v>Uptake kinetics</x:v>
      </x:c>
      <x:c r="G64" s="29" t="n">
        <x:v>5</x:v>
      </x:c>
      <x:c r="H64" s="29" t="n">
        <x:v>5</x:v>
      </x:c>
      <x:c r="I64" s="29" t="n">
        <x:v>50</x:v>
      </x:c>
      <x:c r="J64" s="29" t="n">
        <x:v>0.295973</x:v>
      </x:c>
      <x:c r="K64" s="29" t="n">
        <x:v>0.277361</x:v>
      </x:c>
      <x:c r="L64" s="29" t="n">
        <x:v>0.937116</x:v>
      </x:c>
      <x:c r="M64" s="29" t="n">
        <x:v>0.25</x:v>
      </x:c>
      <x:c r="N64" s="29" t="n">
        <x:v>22</x:v>
      </x:c>
      <x:c r="O64" s="29" t="n">
        <x:v>0.074448</x:v>
      </x:c>
      <x:c r="P64" s="29" t="n">
        <x:v>12.576771</x:v>
      </x:c>
      <x:c r="Q64" s="29" t="str">
        <x:v>S8b</x:v>
      </x:c>
      <x:c r="R64" s="29" t="n">
        <x:v>31</x:v>
      </x:c>
      <x:c r="S64" s="29" t="n">
        <x:v>48</x:v>
      </x:c>
      <x:c r="T64" s="58" t="b">
        <x:v>1</x:v>
      </x:c>
      <x:c r="U64" s="29" t="str"/>
    </x:row>
    <x:row r="65">
      <x:c r="A65" s="29" t="str">
        <x:v>Tm</x:v>
      </x:c>
      <x:c r="B65" s="29" t="str">
        <x:v>P2-APEI</x:v>
      </x:c>
      <x:c r="C65" s="29" t="str">
        <x:v>Phosphorylated</x:v>
      </x:c>
      <x:c r="D65" s="29" t="str">
        <x:v>Binary</x:v>
      </x:c>
      <x:c r="E65" s="29" t="n">
        <x:v>1</x:v>
      </x:c>
      <x:c r="F65" s="29" t="str">
        <x:v>Uptake kinetics</x:v>
      </x:c>
      <x:c r="G65" s="29" t="n">
        <x:v>5</x:v>
      </x:c>
      <x:c r="H65" s="29" t="n">
        <x:v>10</x:v>
      </x:c>
      <x:c r="I65" s="29" t="n">
        <x:v>50</x:v>
      </x:c>
      <x:c r="J65" s="29" t="n">
        <x:v>0.295973</x:v>
      </x:c>
      <x:c r="K65" s="29" t="n">
        <x:v>0.272632</x:v>
      </x:c>
      <x:c r="L65" s="29" t="n">
        <x:v>0.921137</x:v>
      </x:c>
      <x:c r="M65" s="29" t="n">
        <x:v>0.25</x:v>
      </x:c>
      <x:c r="N65" s="29" t="n">
        <x:v>22</x:v>
      </x:c>
      <x:c r="O65" s="29" t="n">
        <x:v>0.093366</x:v>
      </x:c>
      <x:c r="P65" s="29" t="n">
        <x:v>15.772646</x:v>
      </x:c>
      <x:c r="Q65" s="29" t="str">
        <x:v>S8b</x:v>
      </x:c>
      <x:c r="R65" s="29" t="n">
        <x:v>31</x:v>
      </x:c>
      <x:c r="S65" s="29" t="n">
        <x:v>49</x:v>
      </x:c>
      <x:c r="T65" s="58" t="b">
        <x:v>1</x:v>
      </x:c>
      <x:c r="U65" s="29" t="str"/>
    </x:row>
    <x:row r="66">
      <x:c r="A66" s="29" t="str">
        <x:v>Tm</x:v>
      </x:c>
      <x:c r="B66" s="29" t="str">
        <x:v>P2-APEI</x:v>
      </x:c>
      <x:c r="C66" s="29" t="str">
        <x:v>Phosphorylated</x:v>
      </x:c>
      <x:c r="D66" s="29" t="str">
        <x:v>Binary</x:v>
      </x:c>
      <x:c r="E66" s="29" t="n">
        <x:v>1</x:v>
      </x:c>
      <x:c r="F66" s="29" t="str">
        <x:v>Uptake kinetics</x:v>
      </x:c>
      <x:c r="G66" s="29" t="n">
        <x:v>5</x:v>
      </x:c>
      <x:c r="H66" s="29" t="n">
        <x:v>15</x:v>
      </x:c>
      <x:c r="I66" s="29" t="n">
        <x:v>50</x:v>
      </x:c>
      <x:c r="J66" s="29" t="n">
        <x:v>0.295973</x:v>
      </x:c>
      <x:c r="K66" s="29" t="n">
        <x:v>0.266987</x:v>
      </x:c>
      <x:c r="L66" s="29" t="n">
        <x:v>0.902065</x:v>
      </x:c>
      <x:c r="M66" s="29" t="n">
        <x:v>0.25</x:v>
      </x:c>
      <x:c r="N66" s="29" t="n">
        <x:v>22</x:v>
      </x:c>
      <x:c r="O66" s="29" t="n">
        <x:v>0.115945</x:v>
      </x:c>
      <x:c r="P66" s="29" t="n">
        <x:v>19.587076</x:v>
      </x:c>
      <x:c r="Q66" s="29" t="str">
        <x:v>S8b</x:v>
      </x:c>
      <x:c r="R66" s="29" t="n">
        <x:v>31</x:v>
      </x:c>
      <x:c r="S66" s="29" t="n">
        <x:v>50</x:v>
      </x:c>
      <x:c r="T66" s="58" t="b">
        <x:v>1</x:v>
      </x:c>
      <x:c r="U66" s="29" t="str"/>
    </x:row>
    <x:row r="67">
      <x:c r="A67" s="29" t="str">
        <x:v>Tm</x:v>
      </x:c>
      <x:c r="B67" s="29" t="str">
        <x:v>P2-APEI</x:v>
      </x:c>
      <x:c r="C67" s="29" t="str">
        <x:v>Phosphorylated</x:v>
      </x:c>
      <x:c r="D67" s="29" t="str">
        <x:v>Binary</x:v>
      </x:c>
      <x:c r="E67" s="29" t="n">
        <x:v>1</x:v>
      </x:c>
      <x:c r="F67" s="29" t="str">
        <x:v>Uptake kinetics</x:v>
      </x:c>
      <x:c r="G67" s="29" t="n">
        <x:v>5</x:v>
      </x:c>
      <x:c r="H67" s="29" t="n">
        <x:v>20</x:v>
      </x:c>
      <x:c r="I67" s="29" t="n">
        <x:v>50</x:v>
      </x:c>
      <x:c r="J67" s="29" t="n">
        <x:v>0.295973</x:v>
      </x:c>
      <x:c r="K67" s="29" t="n">
        <x:v>0.261189</x:v>
      </x:c>
      <x:c r="L67" s="29" t="n">
        <x:v>0.882474</x:v>
      </x:c>
      <x:c r="M67" s="29" t="n">
        <x:v>0.25</x:v>
      </x:c>
      <x:c r="N67" s="29" t="n">
        <x:v>22</x:v>
      </x:c>
      <x:c r="O67" s="29" t="n">
        <x:v>0.139138</x:v>
      </x:c>
      <x:c r="P67" s="29" t="n">
        <x:v>23.505152</x:v>
      </x:c>
      <x:c r="Q67" s="29" t="str">
        <x:v>S8b</x:v>
      </x:c>
      <x:c r="R67" s="29" t="n">
        <x:v>31</x:v>
      </x:c>
      <x:c r="S67" s="29" t="n">
        <x:v>51</x:v>
      </x:c>
      <x:c r="T67" s="58" t="b">
        <x:v>1</x:v>
      </x:c>
      <x:c r="U67" s="29" t="str"/>
    </x:row>
    <x:row r="68">
      <x:c r="A68" s="29" t="str">
        <x:v>Tm</x:v>
      </x:c>
      <x:c r="B68" s="29" t="str">
        <x:v>P2-APEI</x:v>
      </x:c>
      <x:c r="C68" s="29" t="str">
        <x:v>Phosphorylated</x:v>
      </x:c>
      <x:c r="D68" s="29" t="str">
        <x:v>Binary</x:v>
      </x:c>
      <x:c r="E68" s="29" t="n">
        <x:v>1</x:v>
      </x:c>
      <x:c r="F68" s="29" t="str">
        <x:v>Uptake kinetics</x:v>
      </x:c>
      <x:c r="G68" s="29" t="n">
        <x:v>5</x:v>
      </x:c>
      <x:c r="H68" s="29" t="n">
        <x:v>25</x:v>
      </x:c>
      <x:c r="I68" s="29" t="n">
        <x:v>50</x:v>
      </x:c>
      <x:c r="J68" s="29" t="n">
        <x:v>0.295973</x:v>
      </x:c>
      <x:c r="K68" s="29" t="n">
        <x:v>0.25768</x:v>
      </x:c>
      <x:c r="L68" s="29" t="n">
        <x:v>0.870619</x:v>
      </x:c>
      <x:c r="M68" s="29" t="n">
        <x:v>0.25</x:v>
      </x:c>
      <x:c r="N68" s="29" t="n">
        <x:v>22</x:v>
      </x:c>
      <x:c r="O68" s="29" t="n">
        <x:v>0.153174</x:v>
      </x:c>
      <x:c r="P68" s="29" t="n">
        <x:v>25.876286</x:v>
      </x:c>
      <x:c r="Q68" s="29" t="str">
        <x:v>S8b</x:v>
      </x:c>
      <x:c r="R68" s="29" t="n">
        <x:v>31</x:v>
      </x:c>
      <x:c r="S68" s="29" t="n">
        <x:v>52</x:v>
      </x:c>
      <x:c r="T68" s="58" t="b">
        <x:v>1</x:v>
      </x:c>
      <x:c r="U68" s="29" t="str"/>
    </x:row>
    <x:row r="69">
      <x:c r="A69" s="29" t="str">
        <x:v>Tm</x:v>
      </x:c>
      <x:c r="B69" s="29" t="str">
        <x:v>P2-APEI</x:v>
      </x:c>
      <x:c r="C69" s="29" t="str">
        <x:v>Phosphorylated</x:v>
      </x:c>
      <x:c r="D69" s="29" t="str">
        <x:v>Binary</x:v>
      </x:c>
      <x:c r="E69" s="29" t="n">
        <x:v>1</x:v>
      </x:c>
      <x:c r="F69" s="29" t="str">
        <x:v>Uptake kinetics</x:v>
      </x:c>
      <x:c r="G69" s="29" t="n">
        <x:v>5</x:v>
      </x:c>
      <x:c r="H69" s="29" t="n">
        <x:v>30</x:v>
      </x:c>
      <x:c r="I69" s="29" t="n">
        <x:v>50</x:v>
      </x:c>
      <x:c r="J69" s="29" t="n">
        <x:v>0.295973</x:v>
      </x:c>
      <x:c r="K69" s="29" t="n">
        <x:v>0.257985</x:v>
      </x:c>
      <x:c r="L69" s="29" t="n">
        <x:v>0.871649</x:v>
      </x:c>
      <x:c r="M69" s="29" t="n">
        <x:v>0.25</x:v>
      </x:c>
      <x:c r="N69" s="29" t="n">
        <x:v>22</x:v>
      </x:c>
      <x:c r="O69" s="29" t="n">
        <x:v>0.151953</x:v>
      </x:c>
      <x:c r="P69" s="29" t="n">
        <x:v>25.670102</x:v>
      </x:c>
      <x:c r="Q69" s="29" t="str">
        <x:v>S8b</x:v>
      </x:c>
      <x:c r="R69" s="29" t="n">
        <x:v>31</x:v>
      </x:c>
      <x:c r="S69" s="29" t="n">
        <x:v>53</x:v>
      </x:c>
      <x:c r="T69" s="58" t="b">
        <x:v>1</x:v>
      </x:c>
      <x:c r="U69" s="29" t="str"/>
    </x:row>
    <x:row r="70">
      <x:c r="A70" s="29" t="str">
        <x:v>Tm</x:v>
      </x:c>
      <x:c r="B70" s="29" t="str">
        <x:v>P2-APEI</x:v>
      </x:c>
      <x:c r="C70" s="29" t="str">
        <x:v>Phosphorylated</x:v>
      </x:c>
      <x:c r="D70" s="29" t="str">
        <x:v>Binary</x:v>
      </x:c>
      <x:c r="E70" s="29" t="n">
        <x:v>1</x:v>
      </x:c>
      <x:c r="F70" s="29" t="str">
        <x:v>Uptake kinetics</x:v>
      </x:c>
      <x:c r="G70" s="29" t="n">
        <x:v>5</x:v>
      </x:c>
      <x:c r="H70" s="29" t="n">
        <x:v>35</x:v>
      </x:c>
      <x:c r="I70" s="29" t="n">
        <x:v>50</x:v>
      </x:c>
      <x:c r="J70" s="29" t="n">
        <x:v>0.295973</x:v>
      </x:c>
      <x:c r="K70" s="29" t="n">
        <x:v>0.25768</x:v>
      </x:c>
      <x:c r="L70" s="29" t="n">
        <x:v>0.870619</x:v>
      </x:c>
      <x:c r="M70" s="29" t="n">
        <x:v>0.25</x:v>
      </x:c>
      <x:c r="N70" s="29" t="n">
        <x:v>22</x:v>
      </x:c>
      <x:c r="O70" s="29" t="n">
        <x:v>0.153174</x:v>
      </x:c>
      <x:c r="P70" s="29" t="n">
        <x:v>25.876286</x:v>
      </x:c>
      <x:c r="Q70" s="29" t="str">
        <x:v>S8b</x:v>
      </x:c>
      <x:c r="R70" s="29" t="n">
        <x:v>31</x:v>
      </x:c>
      <x:c r="S70" s="29" t="n">
        <x:v>54</x:v>
      </x:c>
      <x:c r="T70" s="58" t="b">
        <x:v>1</x:v>
      </x:c>
      <x:c r="U70" s="29" t="str"/>
    </x:row>
    <x:row r="71">
      <x:c r="A71" s="29" t="str">
        <x:v>Tm</x:v>
      </x:c>
      <x:c r="B71" s="29" t="str">
        <x:v>P2-APEI</x:v>
      </x:c>
      <x:c r="C71" s="29" t="str">
        <x:v>Phosphorylated</x:v>
      </x:c>
      <x:c r="D71" s="29" t="str">
        <x:v>Binary</x:v>
      </x:c>
      <x:c r="E71" s="29" t="n">
        <x:v>1</x:v>
      </x:c>
      <x:c r="F71" s="29" t="str">
        <x:v>Uptake kinetics</x:v>
      </x:c>
      <x:c r="G71" s="29" t="n">
        <x:v>5</x:v>
      </x:c>
      <x:c r="H71" s="29" t="n">
        <x:v>40</x:v>
      </x:c>
      <x:c r="I71" s="29" t="n">
        <x:v>50</x:v>
      </x:c>
      <x:c r="J71" s="29" t="n">
        <x:v>0.295973</x:v>
      </x:c>
      <x:c r="K71" s="29" t="n">
        <x:v>0.257832</x:v>
      </x:c>
      <x:c r="L71" s="29" t="n">
        <x:v>0.871134</x:v>
      </x:c>
      <x:c r="M71" s="29" t="n">
        <x:v>0.25</x:v>
      </x:c>
      <x:c r="N71" s="29" t="n">
        <x:v>22</x:v>
      </x:c>
      <x:c r="O71" s="29" t="n">
        <x:v>0.152563</x:v>
      </x:c>
      <x:c r="P71" s="29" t="n">
        <x:v>25.773194</x:v>
      </x:c>
      <x:c r="Q71" s="29" t="str">
        <x:v>S8b</x:v>
      </x:c>
      <x:c r="R71" s="29" t="n">
        <x:v>31</x:v>
      </x:c>
      <x:c r="S71" s="29" t="n">
        <x:v>55</x:v>
      </x:c>
      <x:c r="T71" s="58" t="b">
        <x:v>1</x:v>
      </x:c>
      <x:c r="U71" s="29" t="str"/>
    </x:row>
    <x:row r="72">
      <x:c r="A72" s="29" t="str">
        <x:v>Tm</x:v>
      </x:c>
      <x:c r="B72" s="29" t="str">
        <x:v>P2-APEI</x:v>
      </x:c>
      <x:c r="C72" s="29" t="str">
        <x:v>Phosphorylated</x:v>
      </x:c>
      <x:c r="D72" s="29" t="str">
        <x:v>Binary</x:v>
      </x:c>
      <x:c r="E72" s="29" t="n">
        <x:v>1</x:v>
      </x:c>
      <x:c r="F72" s="29" t="str">
        <x:v>Uptake kinetics</x:v>
      </x:c>
      <x:c r="G72" s="29" t="n">
        <x:v>5</x:v>
      </x:c>
      <x:c r="H72" s="29" t="n">
        <x:v>50</x:v>
      </x:c>
      <x:c r="I72" s="29" t="n">
        <x:v>50</x:v>
      </x:c>
      <x:c r="J72" s="29" t="n">
        <x:v>0.295973</x:v>
      </x:c>
      <x:c r="K72" s="29" t="n">
        <x:v>0.257985</x:v>
      </x:c>
      <x:c r="L72" s="29" t="n">
        <x:v>0.871649</x:v>
      </x:c>
      <x:c r="M72" s="29" t="n">
        <x:v>0.25</x:v>
      </x:c>
      <x:c r="N72" s="29" t="n">
        <x:v>22</x:v>
      </x:c>
      <x:c r="O72" s="29" t="n">
        <x:v>0.151953</x:v>
      </x:c>
      <x:c r="P72" s="29" t="n">
        <x:v>25.670104</x:v>
      </x:c>
      <x:c r="Q72" s="29" t="str">
        <x:v>S8b</x:v>
      </x:c>
      <x:c r="R72" s="29" t="n">
        <x:v>31</x:v>
      </x:c>
      <x:c r="S72" s="29" t="n">
        <x:v>56</x:v>
      </x:c>
      <x:c r="T72" s="58" t="b">
        <x:v>1</x:v>
      </x:c>
      <x:c r="U72" s="29" t="str"/>
    </x:row>
    <x:row r="73">
      <x:c r="A73" s="29" t="str">
        <x:v>Tm</x:v>
      </x:c>
      <x:c r="B73" s="29" t="str">
        <x:v>P2-APEI</x:v>
      </x:c>
      <x:c r="C73" s="29" t="str">
        <x:v>Phosphorylated</x:v>
      </x:c>
      <x:c r="D73" s="29" t="str">
        <x:v>Binary</x:v>
      </x:c>
      <x:c r="E73" s="29" t="n">
        <x:v>1</x:v>
      </x:c>
      <x:c r="F73" s="29" t="str">
        <x:v>Uptake kinetics</x:v>
      </x:c>
      <x:c r="G73" s="29" t="n">
        <x:v>5</x:v>
      </x:c>
      <x:c r="H73" s="29" t="n">
        <x:v>60</x:v>
      </x:c>
      <x:c r="I73" s="29" t="n">
        <x:v>50</x:v>
      </x:c>
      <x:c r="J73" s="29" t="n">
        <x:v>0.295973</x:v>
      </x:c>
      <x:c r="K73" s="29" t="n">
        <x:v>0.25768</x:v>
      </x:c>
      <x:c r="L73" s="29" t="n">
        <x:v>0.870619</x:v>
      </x:c>
      <x:c r="M73" s="29" t="n">
        <x:v>0.25</x:v>
      </x:c>
      <x:c r="N73" s="29" t="n">
        <x:v>22</x:v>
      </x:c>
      <x:c r="O73" s="29" t="n">
        <x:v>0.153174</x:v>
      </x:c>
      <x:c r="P73" s="29" t="n">
        <x:v>25.876291</x:v>
      </x:c>
      <x:c r="Q73" s="29" t="str">
        <x:v>S8b</x:v>
      </x:c>
      <x:c r="R73" s="29" t="n">
        <x:v>31</x:v>
      </x:c>
      <x:c r="S73" s="29" t="n">
        <x:v>57</x:v>
      </x:c>
      <x:c r="T73" s="58" t="b">
        <x:v>1</x:v>
      </x:c>
      <x:c r="U73" s="29" t="str"/>
    </x:row>
    <x:row r="74">
      <x:c r="A74" s="29" t="str">
        <x:v>Pr</x:v>
      </x:c>
      <x:c r="B74" s="29" t="str">
        <x:v>P2-APEI</x:v>
      </x:c>
      <x:c r="C74" s="29" t="str">
        <x:v>Phosphorylated</x:v>
      </x:c>
      <x:c r="D74" s="29" t="str">
        <x:v>Single</x:v>
      </x:c>
      <x:c r="E74" s="29" t="n">
        <x:v>1</x:v>
      </x:c>
      <x:c r="F74" s="29" t="str">
        <x:v>Sorption isotherm</x:v>
      </x:c>
      <x:c r="G74" s="29" t="n">
        <x:v>5</x:v>
      </x:c>
      <x:c r="H74" s="29" t="n">
        <x:v>2880</x:v>
      </x:c>
      <x:c r="I74" s="29" t="n">
        <x:v>0.00004</x:v>
      </x:c>
      <x:c r="J74" s="29" t="n">
        <x:v>0</x:v>
      </x:c>
      <x:c r="K74" s="29" t="n">
        <x:v>0</x:v>
      </x:c>
      <x:c r="L74" s="29"/>
      <x:c r="M74" s="29" t="n">
        <x:v>0.5</x:v>
      </x:c>
      <x:c r="N74" s="29" t="n">
        <x:v>22</x:v>
      </x:c>
      <x:c r="O74" s="29" t="n">
        <x:v>0</x:v>
      </x:c>
      <x:c r="P74" s="29" t="n">
        <x:v>0.000055</x:v>
      </x:c>
      <x:c r="Q74" s="29" t="str">
        <x:v>S9</x:v>
      </x:c>
      <x:c r="R74" s="29" t="n">
        <x:v>32</x:v>
      </x:c>
      <x:c r="S74" s="29" t="n">
        <x:v>34</x:v>
      </x:c>
      <x:c r="T74" s="58" t="b">
        <x:v>0</x:v>
      </x:c>
      <x:c r="U74" s="29" t="str">
        <x:v>Origin anchor at (0,0); outside reported C0=10–500 mg/L range</x:v>
      </x:c>
    </x:row>
    <x:row r="75">
      <x:c r="A75" s="29" t="str">
        <x:v>Pr</x:v>
      </x:c>
      <x:c r="B75" s="29" t="str">
        <x:v>P2-APEI</x:v>
      </x:c>
      <x:c r="C75" s="29" t="str">
        <x:v>Phosphorylated</x:v>
      </x:c>
      <x:c r="D75" s="29" t="str">
        <x:v>Single</x:v>
      </x:c>
      <x:c r="E75" s="29" t="n">
        <x:v>1</x:v>
      </x:c>
      <x:c r="F75" s="29" t="str">
        <x:v>Sorption isotherm</x:v>
      </x:c>
      <x:c r="G75" s="29" t="n">
        <x:v>5</x:v>
      </x:c>
      <x:c r="H75" s="29" t="n">
        <x:v>2880</x:v>
      </x:c>
      <x:c r="I75" s="29" t="n">
        <x:v>10.264807</x:v>
      </x:c>
      <x:c r="J75" s="29" t="n">
        <x:v>0.072848</x:v>
      </x:c>
      <x:c r="K75" s="29" t="n">
        <x:v>0.016598</x:v>
      </x:c>
      <x:c r="L75" s="29"/>
      <x:c r="M75" s="29" t="n">
        <x:v>0.5</x:v>
      </x:c>
      <x:c r="N75" s="29" t="n">
        <x:v>22</x:v>
      </x:c>
      <x:c r="O75" s="29" t="n">
        <x:v>0.1125</x:v>
      </x:c>
      <x:c r="P75" s="29" t="n">
        <x:v>15.852153</x:v>
      </x:c>
      <x:c r="Q75" s="29" t="str">
        <x:v>S9</x:v>
      </x:c>
      <x:c r="R75" s="29" t="n">
        <x:v>32</x:v>
      </x:c>
      <x:c r="S75" s="29" t="n">
        <x:v>35</x:v>
      </x:c>
      <x:c r="T75" s="58" t="b">
        <x:v>1</x:v>
      </x:c>
      <x:c r="U75" s="29" t="str"/>
    </x:row>
    <x:row r="76">
      <x:c r="A76" s="29" t="str">
        <x:v>Pr</x:v>
      </x:c>
      <x:c r="B76" s="29" t="str">
        <x:v>P2-APEI</x:v>
      </x:c>
      <x:c r="C76" s="29" t="str">
        <x:v>Phosphorylated</x:v>
      </x:c>
      <x:c r="D76" s="29" t="str">
        <x:v>Single</x:v>
      </x:c>
      <x:c r="E76" s="29" t="n">
        <x:v>1</x:v>
      </x:c>
      <x:c r="F76" s="29" t="str">
        <x:v>Sorption isotherm</x:v>
      </x:c>
      <x:c r="G76" s="29" t="n">
        <x:v>5</x:v>
      </x:c>
      <x:c r="H76" s="29" t="n">
        <x:v>2880</x:v>
      </x:c>
      <x:c r="I76" s="29" t="n">
        <x:v>20.529577</x:v>
      </x:c>
      <x:c r="J76" s="29" t="n">
        <x:v>0.145695</x:v>
      </x:c>
      <x:c r="K76" s="29" t="n">
        <x:v>0.033195</x:v>
      </x:c>
      <x:c r="L76" s="29"/>
      <x:c r="M76" s="29" t="n">
        <x:v>0.5</x:v>
      </x:c>
      <x:c r="N76" s="29" t="n">
        <x:v>22</x:v>
      </x:c>
      <x:c r="O76" s="29" t="n">
        <x:v>0.225</x:v>
      </x:c>
      <x:c r="P76" s="29" t="n">
        <x:v>31.70427</x:v>
      </x:c>
      <x:c r="Q76" s="29" t="str">
        <x:v>S9</x:v>
      </x:c>
      <x:c r="R76" s="29" t="n">
        <x:v>32</x:v>
      </x:c>
      <x:c r="S76" s="29" t="n">
        <x:v>36</x:v>
      </x:c>
      <x:c r="T76" s="58" t="b">
        <x:v>1</x:v>
      </x:c>
      <x:c r="U76" s="29" t="str"/>
    </x:row>
    <x:row r="77">
      <x:c r="A77" s="29" t="str">
        <x:v>Pr</x:v>
      </x:c>
      <x:c r="B77" s="29" t="str">
        <x:v>P2-APEI</x:v>
      </x:c>
      <x:c r="C77" s="29" t="str">
        <x:v>Phosphorylated</x:v>
      </x:c>
      <x:c r="D77" s="29" t="str">
        <x:v>Single</x:v>
      </x:c>
      <x:c r="E77" s="29" t="n">
        <x:v>1</x:v>
      </x:c>
      <x:c r="F77" s="29" t="str">
        <x:v>Sorption isotherm</x:v>
      </x:c>
      <x:c r="G77" s="29" t="n">
        <x:v>5</x:v>
      </x:c>
      <x:c r="H77" s="29" t="n">
        <x:v>2880</x:v>
      </x:c>
      <x:c r="I77" s="29" t="n">
        <x:v>49.655725</x:v>
      </x:c>
      <x:c r="J77" s="29" t="n">
        <x:v>0.352399</x:v>
      </x:c>
      <x:c r="K77" s="29" t="n">
        <x:v>0.174274</x:v>
      </x:c>
      <x:c r="L77" s="29"/>
      <x:c r="M77" s="29" t="n">
        <x:v>0.5</x:v>
      </x:c>
      <x:c r="N77" s="29" t="n">
        <x:v>22</x:v>
      </x:c>
      <x:c r="O77" s="29" t="n">
        <x:v>0.35625</x:v>
      </x:c>
      <x:c r="P77" s="29" t="n">
        <x:v>50.198396</x:v>
      </x:c>
      <x:c r="Q77" s="29" t="str">
        <x:v>S9</x:v>
      </x:c>
      <x:c r="R77" s="29" t="n">
        <x:v>32</x:v>
      </x:c>
      <x:c r="S77" s="29" t="n">
        <x:v>37</x:v>
      </x:c>
      <x:c r="T77" s="58" t="b">
        <x:v>1</x:v>
      </x:c>
      <x:c r="U77" s="29" t="str"/>
    </x:row>
    <x:row r="78">
      <x:c r="A78" s="29" t="str">
        <x:v>Pr</x:v>
      </x:c>
      <x:c r="B78" s="29" t="str">
        <x:v>P2-APEI</x:v>
      </x:c>
      <x:c r="C78" s="29" t="str">
        <x:v>Phosphorylated</x:v>
      </x:c>
      <x:c r="D78" s="29" t="str">
        <x:v>Single</x:v>
      </x:c>
      <x:c r="E78" s="29" t="n">
        <x:v>1</x:v>
      </x:c>
      <x:c r="F78" s="29" t="str">
        <x:v>Sorption isotherm</x:v>
      </x:c>
      <x:c r="G78" s="29" t="n">
        <x:v>5</x:v>
      </x:c>
      <x:c r="H78" s="29" t="n">
        <x:v>2880</x:v>
      </x:c>
      <x:c r="I78" s="29" t="n">
        <x:v>100.737303</x:v>
      </x:c>
      <x:c r="J78" s="29" t="n">
        <x:v>0.714917</x:v>
      </x:c>
      <x:c r="K78" s="29" t="n">
        <x:v>0.414938</x:v>
      </x:c>
      <x:c r="L78" s="29"/>
      <x:c r="M78" s="29" t="n">
        <x:v>0.5</x:v>
      </x:c>
      <x:c r="N78" s="29" t="n">
        <x:v>22</x:v>
      </x:c>
      <x:c r="O78" s="29" t="n">
        <x:v>0.599959</x:v>
      </x:c>
      <x:c r="P78" s="29" t="n">
        <x:v>84.538753</x:v>
      </x:c>
      <x:c r="Q78" s="29" t="str">
        <x:v>S9</x:v>
      </x:c>
      <x:c r="R78" s="29" t="n">
        <x:v>32</x:v>
      </x:c>
      <x:c r="S78" s="29" t="n">
        <x:v>38</x:v>
      </x:c>
      <x:c r="T78" s="58" t="b">
        <x:v>1</x:v>
      </x:c>
      <x:c r="U78" s="29" t="str"/>
    </x:row>
    <x:row r="79">
      <x:c r="A79" s="29" t="str">
        <x:v>Pr</x:v>
      </x:c>
      <x:c r="B79" s="29" t="str">
        <x:v>P2-APEI</x:v>
      </x:c>
      <x:c r="C79" s="29" t="str">
        <x:v>Phosphorylated</x:v>
      </x:c>
      <x:c r="D79" s="29" t="str">
        <x:v>Single</x:v>
      </x:c>
      <x:c r="E79" s="29" t="n">
        <x:v>1</x:v>
      </x:c>
      <x:c r="F79" s="29" t="str">
        <x:v>Sorption isotherm</x:v>
      </x:c>
      <x:c r="G79" s="29" t="n">
        <x:v>5</x:v>
      </x:c>
      <x:c r="H79" s="29" t="n">
        <x:v>2880</x:v>
      </x:c>
      <x:c r="I79" s="29" t="n">
        <x:v>150.500786</x:v>
      </x:c>
      <x:c r="J79" s="29" t="n">
        <x:v>1.068081</x:v>
      </x:c>
      <x:c r="K79" s="29" t="n">
        <x:v>0.655602</x:v>
      </x:c>
      <x:c r="L79" s="29"/>
      <x:c r="M79" s="29" t="n">
        <x:v>0.5</x:v>
      </x:c>
      <x:c r="N79" s="29" t="n">
        <x:v>22</x:v>
      </x:c>
      <x:c r="O79" s="29" t="n">
        <x:v>0.824958</x:v>
      </x:c>
      <x:c r="P79" s="29" t="n">
        <x:v>116.242967</x:v>
      </x:c>
      <x:c r="Q79" s="29" t="str">
        <x:v>S9</x:v>
      </x:c>
      <x:c r="R79" s="29" t="n">
        <x:v>32</x:v>
      </x:c>
      <x:c r="S79" s="29" t="n">
        <x:v>39</x:v>
      </x:c>
      <x:c r="T79" s="58" t="b">
        <x:v>1</x:v>
      </x:c>
      <x:c r="U79" s="29" t="str"/>
    </x:row>
    <x:row r="80">
      <x:c r="A80" s="29" t="str">
        <x:v>Pr</x:v>
      </x:c>
      <x:c r="B80" s="29" t="str">
        <x:v>P2-APEI</x:v>
      </x:c>
      <x:c r="C80" s="29" t="str">
        <x:v>Phosphorylated</x:v>
      </x:c>
      <x:c r="D80" s="29" t="str">
        <x:v>Single</x:v>
      </x:c>
      <x:c r="E80" s="29" t="n">
        <x:v>1</x:v>
      </x:c>
      <x:c r="F80" s="29" t="str">
        <x:v>Sorption isotherm</x:v>
      </x:c>
      <x:c r="G80" s="29" t="n">
        <x:v>5</x:v>
      </x:c>
      <x:c r="H80" s="29" t="n">
        <x:v>2880</x:v>
      </x:c>
      <x:c r="I80" s="29" t="n">
        <x:v>200.552955</x:v>
      </x:c>
      <x:c r="J80" s="29" t="n">
        <x:v>1.423293</x:v>
      </x:c>
      <x:c r="K80" s="29" t="n">
        <x:v>0.904564</x:v>
      </x:c>
      <x:c r="L80" s="29"/>
      <x:c r="M80" s="29" t="n">
        <x:v>0.5</x:v>
      </x:c>
      <x:c r="N80" s="29" t="n">
        <x:v>22</x:v>
      </x:c>
      <x:c r="O80" s="29" t="n">
        <x:v>1.037458</x:v>
      </x:c>
      <x:c r="P80" s="29" t="n">
        <x:v>146.185841</x:v>
      </x:c>
      <x:c r="Q80" s="29" t="str">
        <x:v>S9</x:v>
      </x:c>
      <x:c r="R80" s="29" t="n">
        <x:v>32</x:v>
      </x:c>
      <x:c r="S80" s="29" t="n">
        <x:v>40</x:v>
      </x:c>
      <x:c r="T80" s="58" t="b">
        <x:v>1</x:v>
      </x:c>
      <x:c r="U80" s="29" t="str"/>
    </x:row>
    <x:row r="81">
      <x:c r="A81" s="29" t="str">
        <x:v>Pr</x:v>
      </x:c>
      <x:c r="B81" s="29" t="str">
        <x:v>P2-APEI</x:v>
      </x:c>
      <x:c r="C81" s="29" t="str">
        <x:v>Phosphorylated</x:v>
      </x:c>
      <x:c r="D81" s="29" t="str">
        <x:v>Single</x:v>
      </x:c>
      <x:c r="E81" s="29" t="n">
        <x:v>1</x:v>
      </x:c>
      <x:c r="F81" s="29" t="str">
        <x:v>Sorption isotherm</x:v>
      </x:c>
      <x:c r="G81" s="29" t="n">
        <x:v>5</x:v>
      </x:c>
      <x:c r="H81" s="29" t="n">
        <x:v>2880</x:v>
      </x:c>
      <x:c r="I81" s="29" t="n">
        <x:v>291.106942</x:v>
      </x:c>
      <x:c r="J81" s="29" t="n">
        <x:v>2.065941</x:v>
      </x:c>
      <x:c r="K81" s="29" t="n">
        <x:v>1.419087</x:v>
      </x:c>
      <x:c r="L81" s="29"/>
      <x:c r="M81" s="29" t="n">
        <x:v>0.5</x:v>
      </x:c>
      <x:c r="N81" s="29" t="n">
        <x:v>22</x:v>
      </x:c>
      <x:c r="O81" s="29" t="n">
        <x:v>1.293708</x:v>
      </x:c>
      <x:c r="P81" s="29" t="n">
        <x:v>182.293415</x:v>
      </x:c>
      <x:c r="Q81" s="29" t="str">
        <x:v>S9</x:v>
      </x:c>
      <x:c r="R81" s="29" t="n">
        <x:v>32</x:v>
      </x:c>
      <x:c r="S81" s="29" t="n">
        <x:v>41</x:v>
      </x:c>
      <x:c r="T81" s="58" t="b">
        <x:v>1</x:v>
      </x:c>
      <x:c r="U81" s="29" t="str"/>
    </x:row>
    <x:row r="82">
      <x:c r="A82" s="29" t="str">
        <x:v>Pr</x:v>
      </x:c>
      <x:c r="B82" s="29" t="str">
        <x:v>P2-APEI</x:v>
      </x:c>
      <x:c r="C82" s="29" t="str">
        <x:v>Phosphorylated</x:v>
      </x:c>
      <x:c r="D82" s="29" t="str">
        <x:v>Single</x:v>
      </x:c>
      <x:c r="E82" s="29" t="n">
        <x:v>1</x:v>
      </x:c>
      <x:c r="F82" s="29" t="str">
        <x:v>Sorption isotherm</x:v>
      </x:c>
      <x:c r="G82" s="29" t="n">
        <x:v>5</x:v>
      </x:c>
      <x:c r="H82" s="29" t="n">
        <x:v>2880</x:v>
      </x:c>
      <x:c r="I82" s="29" t="n">
        <x:v>358.547838</x:v>
      </x:c>
      <x:c r="J82" s="29" t="n">
        <x:v>2.544559</x:v>
      </x:c>
      <x:c r="K82" s="29" t="n">
        <x:v>1.80083</x:v>
      </x:c>
      <x:c r="L82" s="29"/>
      <x:c r="M82" s="29" t="n">
        <x:v>0.5</x:v>
      </x:c>
      <x:c r="N82" s="29" t="n">
        <x:v>22</x:v>
      </x:c>
      <x:c r="O82" s="29" t="n">
        <x:v>1.487458</x:v>
      </x:c>
      <x:c r="P82" s="29" t="n">
        <x:v>209.594251</x:v>
      </x:c>
      <x:c r="Q82" s="29" t="str">
        <x:v>S9</x:v>
      </x:c>
      <x:c r="R82" s="29" t="n">
        <x:v>32</x:v>
      </x:c>
      <x:c r="S82" s="29" t="n">
        <x:v>42</x:v>
      </x:c>
      <x:c r="T82" s="58" t="b">
        <x:v>1</x:v>
      </x:c>
      <x:c r="U82" s="29" t="str"/>
    </x:row>
    <x:row r="83">
      <x:c r="A83" s="29" t="str">
        <x:v>Pr</x:v>
      </x:c>
      <x:c r="B83" s="29" t="str">
        <x:v>P2-APEI</x:v>
      </x:c>
      <x:c r="C83" s="29" t="str">
        <x:v>Phosphorylated</x:v>
      </x:c>
      <x:c r="D83" s="29" t="str">
        <x:v>Single</x:v>
      </x:c>
      <x:c r="E83" s="29" t="n">
        <x:v>1</x:v>
      </x:c>
      <x:c r="F83" s="29" t="str">
        <x:v>Sorption isotherm</x:v>
      </x:c>
      <x:c r="G83" s="29" t="n">
        <x:v>5</x:v>
      </x:c>
      <x:c r="H83" s="29" t="n">
        <x:v>2880</x:v>
      </x:c>
      <x:c r="I83" s="29" t="n">
        <x:v>458.68692</x:v>
      </x:c>
      <x:c r="J83" s="29" t="n">
        <x:v>3.255231</x:v>
      </x:c>
      <x:c r="K83" s="29" t="n">
        <x:v>2.489626</x:v>
      </x:c>
      <x:c r="L83" s="29"/>
      <x:c r="M83" s="29" t="n">
        <x:v>0.5</x:v>
      </x:c>
      <x:c r="N83" s="29" t="n">
        <x:v>22</x:v>
      </x:c>
      <x:c r="O83" s="29" t="n">
        <x:v>1.531208</x:v>
      </x:c>
      <x:c r="P83" s="29" t="n">
        <x:v>215.75896</x:v>
      </x:c>
      <x:c r="Q83" s="29" t="str">
        <x:v>S9</x:v>
      </x:c>
      <x:c r="R83" s="29" t="n">
        <x:v>32</x:v>
      </x:c>
      <x:c r="S83" s="29" t="n">
        <x:v>43</x:v>
      </x:c>
      <x:c r="T83" s="58" t="b">
        <x:v>1</x:v>
      </x:c>
      <x:c r="U83" s="29" t="str"/>
    </x:row>
    <x:row r="84">
      <x:c r="A84" s="29" t="str">
        <x:v>Pr</x:v>
      </x:c>
      <x:c r="B84" s="29" t="str">
        <x:v>P2-APEI</x:v>
      </x:c>
      <x:c r="C84" s="29" t="str">
        <x:v>Phosphorylated</x:v>
      </x:c>
      <x:c r="D84" s="29" t="str">
        <x:v>Single</x:v>
      </x:c>
      <x:c r="E84" s="29" t="n">
        <x:v>1</x:v>
      </x:c>
      <x:c r="F84" s="29" t="str">
        <x:v>Sorption isotherm</x:v>
      </x:c>
      <x:c r="G84" s="29" t="n">
        <x:v>5</x:v>
      </x:c>
      <x:c r="H84" s="29" t="n">
        <x:v>2880</x:v>
      </x:c>
      <x:c r="I84" s="29" t="n">
        <x:v>497.867733</x:v>
      </x:c>
      <x:c r="J84" s="29" t="n">
        <x:v>3.533291</x:v>
      </x:c>
      <x:c r="K84" s="29" t="n">
        <x:v>2.755187</x:v>
      </x:c>
      <x:c r="L84" s="29"/>
      <x:c r="M84" s="29" t="n">
        <x:v>0.5</x:v>
      </x:c>
      <x:c r="N84" s="29" t="n">
        <x:v>22</x:v>
      </x:c>
      <x:c r="O84" s="29" t="n">
        <x:v>1.556208</x:v>
      </x:c>
      <x:c r="P84" s="29" t="n">
        <x:v>219.28165</x:v>
      </x:c>
      <x:c r="Q84" s="29" t="str">
        <x:v>S9</x:v>
      </x:c>
      <x:c r="R84" s="29" t="n">
        <x:v>32</x:v>
      </x:c>
      <x:c r="S84" s="29" t="n">
        <x:v>44</x:v>
      </x:c>
      <x:c r="T84" s="58" t="b">
        <x:v>1</x:v>
      </x:c>
      <x:c r="U84" s="29" t="str"/>
    </x:row>
    <x:row r="85">
      <x:c r="A85" s="29" t="str">
        <x:v>Pr</x:v>
      </x:c>
      <x:c r="B85" s="29" t="str">
        <x:v>P2-APEI</x:v>
      </x:c>
      <x:c r="C85" s="29" t="str">
        <x:v>Phosphorylated</x:v>
      </x:c>
      <x:c r="D85" s="29" t="str">
        <x:v>Single</x:v>
      </x:c>
      <x:c r="E85" s="29" t="n">
        <x:v>2</x:v>
      </x:c>
      <x:c r="F85" s="29" t="str">
        <x:v>Sorption isotherm</x:v>
      </x:c>
      <x:c r="G85" s="29" t="n">
        <x:v>5</x:v>
      </x:c>
      <x:c r="H85" s="29" t="n">
        <x:v>2880</x:v>
      </x:c>
      <x:c r="I85" s="29" t="n">
        <x:v>0.364552</x:v>
      </x:c>
      <x:c r="J85" s="29" t="n">
        <x:v>0.002587</x:v>
      </x:c>
      <x:c r="K85" s="29" t="n">
        <x:v>0.00415</x:v>
      </x:c>
      <x:c r="L85" s="29"/>
      <x:c r="M85" s="29" t="n">
        <x:v>0.5</x:v>
      </x:c>
      <x:c r="N85" s="29" t="n">
        <x:v>22</x:v>
      </x:c>
      <x:c r="O85" s="29" t="n">
        <x:v>-0.003125</x:v>
      </x:c>
      <x:c r="P85" s="29" t="n">
        <x:v>-0.440289</x:v>
      </x:c>
      <x:c r="Q85" s="29" t="str">
        <x:v>S9</x:v>
      </x:c>
      <x:c r="R85" s="29" t="n">
        <x:v>32</x:v>
      </x:c>
      <x:c r="S85" s="29" t="n">
        <x:v>45</x:v>
      </x:c>
      <x:c r="T85" s="58" t="b">
        <x:v>0</x:v>
      </x:c>
      <x:c r="U85" s="29" t="str">
        <x:v>Origin anchor at (0,0); outside reported C0=10–500 mg/L range</x:v>
      </x:c>
    </x:row>
    <x:row r="86">
      <x:c r="A86" s="29" t="str">
        <x:v>Pr</x:v>
      </x:c>
      <x:c r="B86" s="29" t="str">
        <x:v>P2-APEI</x:v>
      </x:c>
      <x:c r="C86" s="29" t="str">
        <x:v>Phosphorylated</x:v>
      </x:c>
      <x:c r="D86" s="29" t="str">
        <x:v>Single</x:v>
      </x:c>
      <x:c r="E86" s="29" t="n">
        <x:v>2</x:v>
      </x:c>
      <x:c r="F86" s="29" t="str">
        <x:v>Sorption isotherm</x:v>
      </x:c>
      <x:c r="G86" s="29" t="n">
        <x:v>5</x:v>
      </x:c>
      <x:c r="H86" s="29" t="n">
        <x:v>2880</x:v>
      </x:c>
      <x:c r="I86" s="29" t="n">
        <x:v>9.459966</x:v>
      </x:c>
      <x:c r="J86" s="29" t="n">
        <x:v>0.067136</x:v>
      </x:c>
      <x:c r="K86" s="29" t="n">
        <x:v>0.012448</x:v>
      </x:c>
      <x:c r="L86" s="29"/>
      <x:c r="M86" s="29" t="n">
        <x:v>0.5</x:v>
      </x:c>
      <x:c r="N86" s="29" t="n">
        <x:v>22</x:v>
      </x:c>
      <x:c r="O86" s="29" t="n">
        <x:v>0.109375</x:v>
      </x:c>
      <x:c r="P86" s="29" t="n">
        <x:v>15.411827</x:v>
      </x:c>
      <x:c r="Q86" s="29" t="str">
        <x:v>S9</x:v>
      </x:c>
      <x:c r="R86" s="29" t="n">
        <x:v>32</x:v>
      </x:c>
      <x:c r="S86" s="29" t="n">
        <x:v>46</x:v>
      </x:c>
      <x:c r="T86" s="58" t="b">
        <x:v>1</x:v>
      </x:c>
      <x:c r="U86" s="29" t="str"/>
    </x:row>
    <x:row r="87">
      <x:c r="A87" s="29" t="str">
        <x:v>Pr</x:v>
      </x:c>
      <x:c r="B87" s="29" t="str">
        <x:v>P2-APEI</x:v>
      </x:c>
      <x:c r="C87" s="29" t="str">
        <x:v>Phosphorylated</x:v>
      </x:c>
      <x:c r="D87" s="29" t="str">
        <x:v>Single</x:v>
      </x:c>
      <x:c r="E87" s="29" t="n">
        <x:v>2</x:v>
      </x:c>
      <x:c r="F87" s="29" t="str">
        <x:v>Sorption isotherm</x:v>
      </x:c>
      <x:c r="G87" s="29" t="n">
        <x:v>5</x:v>
      </x:c>
      <x:c r="H87" s="29" t="n">
        <x:v>2880</x:v>
      </x:c>
      <x:c r="I87" s="29" t="n">
        <x:v>20.453764</x:v>
      </x:c>
      <x:c r="J87" s="29" t="n">
        <x:v>0.145157</x:v>
      </x:c>
      <x:c r="K87" s="29" t="n">
        <x:v>0.037345</x:v>
      </x:c>
      <x:c r="L87" s="29"/>
      <x:c r="M87" s="29" t="n">
        <x:v>0.5</x:v>
      </x:c>
      <x:c r="N87" s="29" t="n">
        <x:v>22</x:v>
      </x:c>
      <x:c r="O87" s="29" t="n">
        <x:v>0.215625</x:v>
      </x:c>
      <x:c r="P87" s="29" t="n">
        <x:v>30.383274</x:v>
      </x:c>
      <x:c r="Q87" s="29" t="str">
        <x:v>S9</x:v>
      </x:c>
      <x:c r="R87" s="29" t="n">
        <x:v>32</x:v>
      </x:c>
      <x:c r="S87" s="29" t="n">
        <x:v>47</x:v>
      </x:c>
      <x:c r="T87" s="58" t="b">
        <x:v>1</x:v>
      </x:c>
      <x:c r="U87" s="29" t="str"/>
    </x:row>
    <x:row r="88">
      <x:c r="A88" s="29" t="str">
        <x:v>Pr</x:v>
      </x:c>
      <x:c r="B88" s="29" t="str">
        <x:v>P2-APEI</x:v>
      </x:c>
      <x:c r="C88" s="29" t="str">
        <x:v>Phosphorylated</x:v>
      </x:c>
      <x:c r="D88" s="29" t="str">
        <x:v>Single</x:v>
      </x:c>
      <x:c r="E88" s="29" t="n">
        <x:v>2</x:v>
      </x:c>
      <x:c r="F88" s="29" t="str">
        <x:v>Sorption isotherm</x:v>
      </x:c>
      <x:c r="G88" s="29" t="n">
        <x:v>5</x:v>
      </x:c>
      <x:c r="H88" s="29" t="n">
        <x:v>2880</x:v>
      </x:c>
      <x:c r="I88" s="29" t="n">
        <x:v>50.020235</x:v>
      </x:c>
      <x:c r="J88" s="29" t="n">
        <x:v>0.354986</x:v>
      </x:c>
      <x:c r="K88" s="29" t="n">
        <x:v>0.178423</x:v>
      </x:c>
      <x:c r="L88" s="29"/>
      <x:c r="M88" s="29" t="n">
        <x:v>0.5</x:v>
      </x:c>
      <x:c r="N88" s="29" t="n">
        <x:v>22</x:v>
      </x:c>
      <x:c r="O88" s="29" t="n">
        <x:v>0.353125</x:v>
      </x:c>
      <x:c r="P88" s="29" t="n">
        <x:v>49.758061</x:v>
      </x:c>
      <x:c r="Q88" s="29" t="str">
        <x:v>S9</x:v>
      </x:c>
      <x:c r="R88" s="29" t="n">
        <x:v>32</x:v>
      </x:c>
      <x:c r="S88" s="29" t="n">
        <x:v>48</x:v>
      </x:c>
      <x:c r="T88" s="58" t="b">
        <x:v>1</x:v>
      </x:c>
      <x:c r="U88" s="29" t="str"/>
    </x:row>
    <x:row r="89">
      <x:c r="A89" s="29" t="str">
        <x:v>Pr</x:v>
      </x:c>
      <x:c r="B89" s="29" t="str">
        <x:v>P2-APEI</x:v>
      </x:c>
      <x:c r="C89" s="29" t="str">
        <x:v>Phosphorylated</x:v>
      </x:c>
      <x:c r="D89" s="29" t="str">
        <x:v>Single</x:v>
      </x:c>
      <x:c r="E89" s="29" t="n">
        <x:v>2</x:v>
      </x:c>
      <x:c r="F89" s="29" t="str">
        <x:v>Sorption isotherm</x:v>
      </x:c>
      <x:c r="G89" s="29" t="n">
        <x:v>5</x:v>
      </x:c>
      <x:c r="H89" s="29" t="n">
        <x:v>2880</x:v>
      </x:c>
      <x:c r="I89" s="29" t="n">
        <x:v>98.766028</x:v>
      </x:c>
      <x:c r="J89" s="29" t="n">
        <x:v>0.700927</x:v>
      </x:c>
      <x:c r="K89" s="29" t="n">
        <x:v>0.40249</x:v>
      </x:c>
      <x:c r="L89" s="29"/>
      <x:c r="M89" s="29" t="n">
        <x:v>0.5</x:v>
      </x:c>
      <x:c r="N89" s="29" t="n">
        <x:v>22</x:v>
      </x:c>
      <x:c r="O89" s="29" t="n">
        <x:v>0.596875</x:v>
      </x:c>
      <x:c r="P89" s="29" t="n">
        <x:v>84.104295</x:v>
      </x:c>
      <x:c r="Q89" s="29" t="str">
        <x:v>S9</x:v>
      </x:c>
      <x:c r="R89" s="29" t="n">
        <x:v>32</x:v>
      </x:c>
      <x:c r="S89" s="29" t="n">
        <x:v>49</x:v>
      </x:c>
      <x:c r="T89" s="58" t="b">
        <x:v>1</x:v>
      </x:c>
      <x:c r="U89" s="29" t="str"/>
    </x:row>
    <x:row r="90">
      <x:c r="A90" s="29" t="str">
        <x:v>Pr</x:v>
      </x:c>
      <x:c r="B90" s="29" t="str">
        <x:v>P2-APEI</x:v>
      </x:c>
      <x:c r="C90" s="29" t="str">
        <x:v>Phosphorylated</x:v>
      </x:c>
      <x:c r="D90" s="29" t="str">
        <x:v>Single</x:v>
      </x:c>
      <x:c r="E90" s="29" t="n">
        <x:v>2</x:v>
      </x:c>
      <x:c r="F90" s="29" t="str">
        <x:v>Sorption isotherm</x:v>
      </x:c>
      <x:c r="G90" s="29" t="n">
        <x:v>5</x:v>
      </x:c>
      <x:c r="H90" s="29" t="n">
        <x:v>2880</x:v>
      </x:c>
      <x:c r="I90" s="29" t="n">
        <x:v>153.055297</x:v>
      </x:c>
      <x:c r="J90" s="29" t="n">
        <x:v>1.08621</x:v>
      </x:c>
      <x:c r="K90" s="29" t="n">
        <x:v>0.684647</x:v>
      </x:c>
      <x:c r="L90" s="29"/>
      <x:c r="M90" s="29" t="n">
        <x:v>0.5</x:v>
      </x:c>
      <x:c r="N90" s="29" t="n">
        <x:v>22</x:v>
      </x:c>
      <x:c r="O90" s="29" t="n">
        <x:v>0.803125</x:v>
      </x:c>
      <x:c r="P90" s="29" t="n">
        <x:v>113.166471</x:v>
      </x:c>
      <x:c r="Q90" s="29" t="str">
        <x:v>S9</x:v>
      </x:c>
      <x:c r="R90" s="29" t="n">
        <x:v>32</x:v>
      </x:c>
      <x:c r="S90" s="29" t="n">
        <x:v>50</x:v>
      </x:c>
      <x:c r="T90" s="58" t="b">
        <x:v>1</x:v>
      </x:c>
      <x:c r="U90" s="29" t="str"/>
    </x:row>
    <x:row r="91">
      <x:c r="A91" s="29" t="str">
        <x:v>Pr</x:v>
      </x:c>
      <x:c r="B91" s="29" t="str">
        <x:v>P2-APEI</x:v>
      </x:c>
      <x:c r="C91" s="29" t="str">
        <x:v>Phosphorylated</x:v>
      </x:c>
      <x:c r="D91" s="29" t="str">
        <x:v>Single</x:v>
      </x:c>
      <x:c r="E91" s="29" t="n">
        <x:v>2</x:v>
      </x:c>
      <x:c r="F91" s="29" t="str">
        <x:v>Sorption isotherm</x:v>
      </x:c>
      <x:c r="G91" s="29" t="n">
        <x:v>5</x:v>
      </x:c>
      <x:c r="H91" s="29" t="n">
        <x:v>2880</x:v>
      </x:c>
      <x:c r="I91" s="29" t="n">
        <x:v>197.975073</x:v>
      </x:c>
      <x:c r="J91" s="29" t="n">
        <x:v>1.404999</x:v>
      </x:c>
      <x:c r="K91" s="29" t="n">
        <x:v>0.925311</x:v>
      </x:c>
      <x:c r="L91" s="29"/>
      <x:c r="M91" s="29" t="n">
        <x:v>0.5</x:v>
      </x:c>
      <x:c r="N91" s="29" t="n">
        <x:v>22</x:v>
      </x:c>
      <x:c r="O91" s="29" t="n">
        <x:v>0.959375</x:v>
      </x:c>
      <x:c r="P91" s="29" t="n">
        <x:v>135.183296</x:v>
      </x:c>
      <x:c r="Q91" s="29" t="str">
        <x:v>S9</x:v>
      </x:c>
      <x:c r="R91" s="29" t="n">
        <x:v>32</x:v>
      </x:c>
      <x:c r="S91" s="29" t="n">
        <x:v>51</x:v>
      </x:c>
      <x:c r="T91" s="58" t="b">
        <x:v>1</x:v>
      </x:c>
      <x:c r="U91" s="29" t="str"/>
    </x:row>
    <x:row r="92">
      <x:c r="A92" s="29" t="str">
        <x:v>Pr</x:v>
      </x:c>
      <x:c r="B92" s="29" t="str">
        <x:v>P2-APEI</x:v>
      </x:c>
      <x:c r="C92" s="29" t="str">
        <x:v>Phosphorylated</x:v>
      </x:c>
      <x:c r="D92" s="29" t="str">
        <x:v>Single</x:v>
      </x:c>
      <x:c r="E92" s="29" t="n">
        <x:v>2</x:v>
      </x:c>
      <x:c r="F92" s="29" t="str">
        <x:v>Sorption isotherm</x:v>
      </x:c>
      <x:c r="G92" s="29" t="n">
        <x:v>5</x:v>
      </x:c>
      <x:c r="H92" s="29" t="n">
        <x:v>2880</x:v>
      </x:c>
      <x:c r="I92" s="29" t="n">
        <x:v>267.191932</x:v>
      </x:c>
      <x:c r="J92" s="29" t="n">
        <x:v>1.89622</x:v>
      </x:c>
      <x:c r="K92" s="29" t="n">
        <x:v>1.282158</x:v>
      </x:c>
      <x:c r="L92" s="29"/>
      <x:c r="M92" s="29" t="n">
        <x:v>0.5</x:v>
      </x:c>
      <x:c r="N92" s="29" t="n">
        <x:v>22</x:v>
      </x:c>
      <x:c r="O92" s="29" t="n">
        <x:v>1.228125</x:v>
      </x:c>
      <x:c r="P92" s="29" t="n">
        <x:v>173.05222</x:v>
      </x:c>
      <x:c r="Q92" s="29" t="str">
        <x:v>S9</x:v>
      </x:c>
      <x:c r="R92" s="29" t="n">
        <x:v>32</x:v>
      </x:c>
      <x:c r="S92" s="29" t="n">
        <x:v>52</x:v>
      </x:c>
      <x:c r="T92" s="58" t="b">
        <x:v>1</x:v>
      </x:c>
      <x:c r="U92" s="29" t="str"/>
    </x:row>
    <x:row r="93">
      <x:c r="A93" s="29" t="str">
        <x:v>Pr</x:v>
      </x:c>
      <x:c r="B93" s="29" t="str">
        <x:v>P2-APEI</x:v>
      </x:c>
      <x:c r="C93" s="29" t="str">
        <x:v>Phosphorylated</x:v>
      </x:c>
      <x:c r="D93" s="29" t="str">
        <x:v>Single</x:v>
      </x:c>
      <x:c r="E93" s="29" t="n">
        <x:v>2</x:v>
      </x:c>
      <x:c r="F93" s="29" t="str">
        <x:v>Sorption isotherm</x:v>
      </x:c>
      <x:c r="G93" s="29" t="n">
        <x:v>5</x:v>
      </x:c>
      <x:c r="H93" s="29" t="n">
        <x:v>2880</x:v>
      </x:c>
      <x:c r="I93" s="29" t="n">
        <x:v>352.036162</x:v>
      </x:c>
      <x:c r="J93" s="29" t="n">
        <x:v>2.498347</x:v>
      </x:c>
      <x:c r="K93" s="29" t="n">
        <x:v>1.771784</x:v>
      </x:c>
      <x:c r="L93" s="29"/>
      <x:c r="M93" s="29" t="n">
        <x:v>0.5</x:v>
      </x:c>
      <x:c r="N93" s="29" t="n">
        <x:v>22</x:v>
      </x:c>
      <x:c r="O93" s="29" t="n">
        <x:v>1.453125</x:v>
      </x:c>
      <x:c r="P93" s="29" t="n">
        <x:v>204.756415</x:v>
      </x:c>
      <x:c r="Q93" s="29" t="str">
        <x:v>S9</x:v>
      </x:c>
      <x:c r="R93" s="29" t="n">
        <x:v>32</x:v>
      </x:c>
      <x:c r="S93" s="29" t="n">
        <x:v>53</x:v>
      </x:c>
      <x:c r="T93" s="58" t="b">
        <x:v>1</x:v>
      </x:c>
      <x:c r="U93" s="29" t="str"/>
    </x:row>
    <x:row r="94">
      <x:c r="A94" s="29" t="str">
        <x:v>Pr</x:v>
      </x:c>
      <x:c r="B94" s="29" t="str">
        <x:v>P2-APEI</x:v>
      </x:c>
      <x:c r="C94" s="29" t="str">
        <x:v>Phosphorylated</x:v>
      </x:c>
      <x:c r="D94" s="29" t="str">
        <x:v>Single</x:v>
      </x:c>
      <x:c r="E94" s="29" t="n">
        <x:v>2</x:v>
      </x:c>
      <x:c r="F94" s="29" t="str">
        <x:v>Sorption isotherm</x:v>
      </x:c>
      <x:c r="G94" s="29" t="n">
        <x:v>5</x:v>
      </x:c>
      <x:c r="H94" s="29" t="n">
        <x:v>2880</x:v>
      </x:c>
      <x:c r="I94" s="29" t="n">
        <x:v>450.428539</x:v>
      </x:c>
      <x:c r="J94" s="29" t="n">
        <x:v>3.196622</x:v>
      </x:c>
      <x:c r="K94" s="29" t="n">
        <x:v>2.435685</x:v>
      </x:c>
      <x:c r="L94" s="29"/>
      <x:c r="M94" s="29" t="n">
        <x:v>0.5</x:v>
      </x:c>
      <x:c r="N94" s="29" t="n">
        <x:v>22</x:v>
      </x:c>
      <x:c r="O94" s="29" t="n">
        <x:v>1.521875</x:v>
      </x:c>
      <x:c r="P94" s="29" t="n">
        <x:v>214.443805</x:v>
      </x:c>
      <x:c r="Q94" s="29" t="str">
        <x:v>S9</x:v>
      </x:c>
      <x:c r="R94" s="29" t="n">
        <x:v>32</x:v>
      </x:c>
      <x:c r="S94" s="29" t="n">
        <x:v>54</x:v>
      </x:c>
      <x:c r="T94" s="58" t="b">
        <x:v>1</x:v>
      </x:c>
      <x:c r="U94" s="29" t="str"/>
    </x:row>
    <x:row r="95">
      <x:c r="A95" s="29" t="str">
        <x:v>Pr</x:v>
      </x:c>
      <x:c r="B95" s="29" t="str">
        <x:v>P2-APEI</x:v>
      </x:c>
      <x:c r="C95" s="29" t="str">
        <x:v>Phosphorylated</x:v>
      </x:c>
      <x:c r="D95" s="29" t="str">
        <x:v>Single</x:v>
      </x:c>
      <x:c r="E95" s="29" t="n">
        <x:v>2</x:v>
      </x:c>
      <x:c r="F95" s="29" t="str">
        <x:v>Sorption isotherm</x:v>
      </x:c>
      <x:c r="G95" s="29" t="n">
        <x:v>5</x:v>
      </x:c>
      <x:c r="H95" s="29" t="n">
        <x:v>2880</x:v>
      </x:c>
      <x:c r="I95" s="29" t="n">
        <x:v>498.372203</x:v>
      </x:c>
      <x:c r="J95" s="29" t="n">
        <x:v>3.536871</x:v>
      </x:c>
      <x:c r="K95" s="29" t="n">
        <x:v>2.775934</x:v>
      </x:c>
      <x:c r="L95" s="29"/>
      <x:c r="M95" s="29" t="n">
        <x:v>0.5</x:v>
      </x:c>
      <x:c r="N95" s="29" t="n">
        <x:v>22</x:v>
      </x:c>
      <x:c r="O95" s="29" t="n">
        <x:v>1.521875</x:v>
      </x:c>
      <x:c r="P95" s="29" t="n">
        <x:v>214.443786</x:v>
      </x:c>
      <x:c r="Q95" s="29" t="str">
        <x:v>S9</x:v>
      </x:c>
      <x:c r="R95" s="29" t="n">
        <x:v>32</x:v>
      </x:c>
      <x:c r="S95" s="29" t="n">
        <x:v>55</x:v>
      </x:c>
      <x:c r="T95" s="58" t="b">
        <x:v>1</x:v>
      </x:c>
      <x:c r="U95" s="29" t="str"/>
    </x:row>
    <x:row r="96">
      <x:c r="A96" s="29" t="str">
        <x:v>Tm</x:v>
      </x:c>
      <x:c r="B96" s="29" t="str">
        <x:v>P2-APEI</x:v>
      </x:c>
      <x:c r="C96" s="29" t="str">
        <x:v>Phosphorylated</x:v>
      </x:c>
      <x:c r="D96" s="29" t="str">
        <x:v>Single</x:v>
      </x:c>
      <x:c r="E96" s="29" t="n">
        <x:v>1</x:v>
      </x:c>
      <x:c r="F96" s="29" t="str">
        <x:v>Sorption isotherm</x:v>
      </x:c>
      <x:c r="G96" s="29" t="n">
        <x:v>5</x:v>
      </x:c>
      <x:c r="H96" s="29" t="n">
        <x:v>2880</x:v>
      </x:c>
      <x:c r="I96" s="29" t="n">
        <x:v>0.000048</x:v>
      </x:c>
      <x:c r="J96" s="29" t="n">
        <x:v>0</x:v>
      </x:c>
      <x:c r="K96" s="29" t="n">
        <x:v>0</x:v>
      </x:c>
      <x:c r="L96" s="29"/>
      <x:c r="M96" s="29" t="n">
        <x:v>0.5</x:v>
      </x:c>
      <x:c r="N96" s="29" t="n">
        <x:v>22</x:v>
      </x:c>
      <x:c r="O96" s="29" t="n">
        <x:v>0</x:v>
      </x:c>
      <x:c r="P96" s="29" t="n">
        <x:v>0.000066</x:v>
      </x:c>
      <x:c r="Q96" s="29" t="str">
        <x:v>S9</x:v>
      </x:c>
      <x:c r="R96" s="29" t="n">
        <x:v>32</x:v>
      </x:c>
      <x:c r="S96" s="29" t="n">
        <x:v>56</x:v>
      </x:c>
      <x:c r="T96" s="58" t="b">
        <x:v>0</x:v>
      </x:c>
      <x:c r="U96" s="29" t="str">
        <x:v>Origin anchor at (0,0); outside reported C0=10–500 mg/L range</x:v>
      </x:c>
    </x:row>
    <x:row r="97">
      <x:c r="A97" s="29" t="str">
        <x:v>Tm</x:v>
      </x:c>
      <x:c r="B97" s="29" t="str">
        <x:v>P2-APEI</x:v>
      </x:c>
      <x:c r="C97" s="29" t="str">
        <x:v>Phosphorylated</x:v>
      </x:c>
      <x:c r="D97" s="29" t="str">
        <x:v>Single</x:v>
      </x:c>
      <x:c r="E97" s="29" t="n">
        <x:v>1</x:v>
      </x:c>
      <x:c r="F97" s="29" t="str">
        <x:v>Sorption isotherm</x:v>
      </x:c>
      <x:c r="G97" s="29" t="n">
        <x:v>5</x:v>
      </x:c>
      <x:c r="H97" s="29" t="n">
        <x:v>2880</x:v>
      </x:c>
      <x:c r="I97" s="29" t="n">
        <x:v>9.138962</x:v>
      </x:c>
      <x:c r="J97" s="29" t="n">
        <x:v>0.054098</x:v>
      </x:c>
      <x:c r="K97" s="29" t="n">
        <x:v>0.016598</x:v>
      </x:c>
      <x:c r="L97" s="29"/>
      <x:c r="M97" s="29" t="n">
        <x:v>0.5</x:v>
      </x:c>
      <x:c r="N97" s="29" t="n">
        <x:v>22</x:v>
      </x:c>
      <x:c r="O97" s="29" t="n">
        <x:v>0.075</x:v>
      </x:c>
      <x:c r="P97" s="29" t="n">
        <x:v>12.670114</x:v>
      </x:c>
      <x:c r="Q97" s="29" t="str">
        <x:v>S9</x:v>
      </x:c>
      <x:c r="R97" s="29" t="n">
        <x:v>32</x:v>
      </x:c>
      <x:c r="S97" s="29" t="n">
        <x:v>57</x:v>
      </x:c>
      <x:c r="T97" s="58" t="b">
        <x:v>1</x:v>
      </x:c>
      <x:c r="U97" s="29" t="str"/>
    </x:row>
    <x:row r="98">
      <x:c r="A98" s="29" t="str">
        <x:v>Tm</x:v>
      </x:c>
      <x:c r="B98" s="29" t="str">
        <x:v>P2-APEI</x:v>
      </x:c>
      <x:c r="C98" s="29" t="str">
        <x:v>Phosphorylated</x:v>
      </x:c>
      <x:c r="D98" s="29" t="str">
        <x:v>Single</x:v>
      </x:c>
      <x:c r="E98" s="29" t="n">
        <x:v>1</x:v>
      </x:c>
      <x:c r="F98" s="29" t="str">
        <x:v>Sorption isotherm</x:v>
      </x:c>
      <x:c r="G98" s="29" t="n">
        <x:v>5</x:v>
      </x:c>
      <x:c r="H98" s="29" t="n">
        <x:v>2880</x:v>
      </x:c>
      <x:c r="I98" s="29" t="n">
        <x:v>19.679828</x:v>
      </x:c>
      <x:c r="J98" s="29" t="n">
        <x:v>0.116494</x:v>
      </x:c>
      <x:c r="K98" s="29" t="n">
        <x:v>0.041494</x:v>
      </x:c>
      <x:c r="L98" s="29"/>
      <x:c r="M98" s="29" t="n">
        <x:v>0.5</x:v>
      </x:c>
      <x:c r="N98" s="29" t="n">
        <x:v>22</x:v>
      </x:c>
      <x:c r="O98" s="29" t="n">
        <x:v>0.15</x:v>
      </x:c>
      <x:c r="P98" s="29" t="n">
        <x:v>25.340185</x:v>
      </x:c>
      <x:c r="Q98" s="29" t="str">
        <x:v>S9</x:v>
      </x:c>
      <x:c r="R98" s="29" t="n">
        <x:v>32</x:v>
      </x:c>
      <x:c r="S98" s="29" t="n">
        <x:v>58</x:v>
      </x:c>
      <x:c r="T98" s="58" t="b">
        <x:v>1</x:v>
      </x:c>
      <x:c r="U98" s="29" t="str"/>
    </x:row>
    <x:row r="99">
      <x:c r="A99" s="29" t="str">
        <x:v>Tm</x:v>
      </x:c>
      <x:c r="B99" s="29" t="str">
        <x:v>P2-APEI</x:v>
      </x:c>
      <x:c r="C99" s="29" t="str">
        <x:v>Phosphorylated</x:v>
      </x:c>
      <x:c r="D99" s="29" t="str">
        <x:v>Single</x:v>
      </x:c>
      <x:c r="E99" s="29" t="n">
        <x:v>1</x:v>
      </x:c>
      <x:c r="F99" s="29" t="str">
        <x:v>Sorption isotherm</x:v>
      </x:c>
      <x:c r="G99" s="29" t="n">
        <x:v>5</x:v>
      </x:c>
      <x:c r="H99" s="29" t="n">
        <x:v>2880</x:v>
      </x:c>
      <x:c r="I99" s="29" t="n">
        <x:v>50.921262</x:v>
      </x:c>
      <x:c r="J99" s="29" t="n">
        <x:v>0.301427</x:v>
      </x:c>
      <x:c r="K99" s="29" t="n">
        <x:v>0.157676</x:v>
      </x:c>
      <x:c r="L99" s="29"/>
      <x:c r="M99" s="29" t="n">
        <x:v>0.5</x:v>
      </x:c>
      <x:c r="N99" s="29" t="n">
        <x:v>22</x:v>
      </x:c>
      <x:c r="O99" s="29" t="n">
        <x:v>0.2875</x:v>
      </x:c>
      <x:c r="P99" s="29" t="n">
        <x:v>48.568654</x:v>
      </x:c>
      <x:c r="Q99" s="29" t="str">
        <x:v>S9</x:v>
      </x:c>
      <x:c r="R99" s="29" t="n">
        <x:v>32</x:v>
      </x:c>
      <x:c r="S99" s="29" t="n">
        <x:v>59</x:v>
      </x:c>
      <x:c r="T99" s="58" t="b">
        <x:v>1</x:v>
      </x:c>
      <x:c r="U99" s="29" t="str"/>
    </x:row>
    <x:row r="100">
      <x:c r="A100" s="29" t="str">
        <x:v>Tm</x:v>
      </x:c>
      <x:c r="B100" s="29" t="str">
        <x:v>P2-APEI</x:v>
      </x:c>
      <x:c r="C100" s="29" t="str">
        <x:v>Phosphorylated</x:v>
      </x:c>
      <x:c r="D100" s="29" t="str">
        <x:v>Single</x:v>
      </x:c>
      <x:c r="E100" s="29" t="n">
        <x:v>1</x:v>
      </x:c>
      <x:c r="F100" s="29" t="str">
        <x:v>Sorption isotherm</x:v>
      </x:c>
      <x:c r="G100" s="29" t="n">
        <x:v>5</x:v>
      </x:c>
      <x:c r="H100" s="29" t="n">
        <x:v>2880</x:v>
      </x:c>
      <x:c r="I100" s="29" t="n">
        <x:v>101.277765</x:v>
      </x:c>
      <x:c r="J100" s="29" t="n">
        <x:v>0.59951</x:v>
      </x:c>
      <x:c r="K100" s="29" t="n">
        <x:v>0.365145</x:v>
      </x:c>
      <x:c r="L100" s="29"/>
      <x:c r="M100" s="29" t="n">
        <x:v>0.5</x:v>
      </x:c>
      <x:c r="N100" s="29" t="n">
        <x:v>22</x:v>
      </x:c>
      <x:c r="O100" s="29" t="n">
        <x:v>0.468729</x:v>
      </x:c>
      <x:c r="P100" s="29" t="n">
        <x:v>79.184438</x:v>
      </x:c>
      <x:c r="Q100" s="29" t="str">
        <x:v>S9</x:v>
      </x:c>
      <x:c r="R100" s="29" t="n">
        <x:v>32</x:v>
      </x:c>
      <x:c r="S100" s="29" t="n">
        <x:v>60</x:v>
      </x:c>
      <x:c r="T100" s="58" t="b">
        <x:v>1</x:v>
      </x:c>
      <x:c r="U100" s="29" t="str"/>
    </x:row>
    <x:row r="101">
      <x:c r="A101" s="29" t="str">
        <x:v>Tm</x:v>
      </x:c>
      <x:c r="B101" s="29" t="str">
        <x:v>P2-APEI</x:v>
      </x:c>
      <x:c r="C101" s="29" t="str">
        <x:v>Phosphorylated</x:v>
      </x:c>
      <x:c r="D101" s="29" t="str">
        <x:v>Single</x:v>
      </x:c>
      <x:c r="E101" s="29" t="n">
        <x:v>1</x:v>
      </x:c>
      <x:c r="F101" s="29" t="str">
        <x:v>Sorption isotherm</x:v>
      </x:c>
      <x:c r="G101" s="29" t="n">
        <x:v>5</x:v>
      </x:c>
      <x:c r="H101" s="29" t="n">
        <x:v>2880</x:v>
      </x:c>
      <x:c r="I101" s="29" t="n">
        <x:v>151.634232</x:v>
      </x:c>
      <x:c r="J101" s="29" t="n">
        <x:v>0.897593</x:v>
      </x:c>
      <x:c r="K101" s="29" t="n">
        <x:v>0.572614</x:v>
      </x:c>
      <x:c r="L101" s="29"/>
      <x:c r="M101" s="29" t="n">
        <x:v>0.5</x:v>
      </x:c>
      <x:c r="N101" s="29" t="n">
        <x:v>22</x:v>
      </x:c>
      <x:c r="O101" s="29" t="n">
        <x:v>0.649958</x:v>
      </x:c>
      <x:c r="P101" s="29" t="n">
        <x:v>109.800221</x:v>
      </x:c>
      <x:c r="Q101" s="29" t="str">
        <x:v>S9</x:v>
      </x:c>
      <x:c r="R101" s="29" t="n">
        <x:v>32</x:v>
      </x:c>
      <x:c r="S101" s="29" t="n">
        <x:v>61</x:v>
      </x:c>
      <x:c r="T101" s="58" t="b">
        <x:v>1</x:v>
      </x:c>
      <x:c r="U101" s="29" t="str"/>
    </x:row>
    <x:row r="102">
      <x:c r="A102" s="29" t="str">
        <x:v>Tm</x:v>
      </x:c>
      <x:c r="B102" s="29" t="str">
        <x:v>P2-APEI</x:v>
      </x:c>
      <x:c r="C102" s="29" t="str">
        <x:v>Phosphorylated</x:v>
      </x:c>
      <x:c r="D102" s="29" t="str">
        <x:v>Single</x:v>
      </x:c>
      <x:c r="E102" s="29" t="n">
        <x:v>1</x:v>
      </x:c>
      <x:c r="F102" s="29" t="str">
        <x:v>Sorption isotherm</x:v>
      </x:c>
      <x:c r="G102" s="29" t="n">
        <x:v>5</x:v>
      </x:c>
      <x:c r="H102" s="29" t="n">
        <x:v>2880</x:v>
      </x:c>
      <x:c r="I102" s="29" t="n">
        <x:v>197.405513</x:v>
      </x:c>
      <x:c r="J102" s="29" t="n">
        <x:v>1.168535</x:v>
      </x:c>
      <x:c r="K102" s="29" t="n">
        <x:v>0.796681</x:v>
      </x:c>
      <x:c r="L102" s="29"/>
      <x:c r="M102" s="29" t="n">
        <x:v>0.5</x:v>
      </x:c>
      <x:c r="N102" s="29" t="n">
        <x:v>22</x:v>
      </x:c>
      <x:c r="O102" s="29" t="n">
        <x:v>0.743708</x:v>
      </x:c>
      <x:c r="P102" s="29" t="n">
        <x:v>125.637809</x:v>
      </x:c>
      <x:c r="Q102" s="29" t="str">
        <x:v>S9</x:v>
      </x:c>
      <x:c r="R102" s="29" t="n">
        <x:v>32</x:v>
      </x:c>
      <x:c r="S102" s="29" t="n">
        <x:v>62</x:v>
      </x:c>
      <x:c r="T102" s="58" t="b">
        <x:v>1</x:v>
      </x:c>
      <x:c r="U102" s="29" t="str"/>
    </x:row>
    <x:row r="103">
      <x:c r="A103" s="29" t="str">
        <x:v>Tm</x:v>
      </x:c>
      <x:c r="B103" s="29" t="str">
        <x:v>P2-APEI</x:v>
      </x:c>
      <x:c r="C103" s="29" t="str">
        <x:v>Phosphorylated</x:v>
      </x:c>
      <x:c r="D103" s="29" t="str">
        <x:v>Single</x:v>
      </x:c>
      <x:c r="E103" s="29" t="n">
        <x:v>1</x:v>
      </x:c>
      <x:c r="F103" s="29" t="str">
        <x:v>Sorption isotherm</x:v>
      </x:c>
      <x:c r="G103" s="29" t="n">
        <x:v>5</x:v>
      </x:c>
      <x:c r="H103" s="29" t="n">
        <x:v>2880</x:v>
      </x:c>
      <x:c r="I103" s="29" t="n">
        <x:v>297.705831</x:v>
      </x:c>
      <x:c r="J103" s="29" t="n">
        <x:v>1.762259</x:v>
      </x:c>
      <x:c r="K103" s="29" t="n">
        <x:v>1.302905</x:v>
      </x:c>
      <x:c r="L103" s="29"/>
      <x:c r="M103" s="29" t="n">
        <x:v>0.5</x:v>
      </x:c>
      <x:c r="N103" s="29" t="n">
        <x:v>22</x:v>
      </x:c>
      <x:c r="O103" s="29" t="n">
        <x:v>0.918708</x:v>
      </x:c>
      <x:c r="P103" s="29" t="n">
        <x:v>155.201292</x:v>
      </x:c>
      <x:c r="Q103" s="29" t="str">
        <x:v>S9</x:v>
      </x:c>
      <x:c r="R103" s="29" t="n">
        <x:v>32</x:v>
      </x:c>
      <x:c r="S103" s="29" t="n">
        <x:v>63</x:v>
      </x:c>
      <x:c r="T103" s="58" t="b">
        <x:v>1</x:v>
      </x:c>
      <x:c r="U103" s="29" t="str"/>
    </x:row>
    <x:row r="104">
      <x:c r="A104" s="29" t="str">
        <x:v>Tm</x:v>
      </x:c>
      <x:c r="B104" s="29" t="str">
        <x:v>P2-APEI</x:v>
      </x:c>
      <x:c r="C104" s="29" t="str">
        <x:v>Phosphorylated</x:v>
      </x:c>
      <x:c r="D104" s="29" t="str">
        <x:v>Single</x:v>
      </x:c>
      <x:c r="E104" s="29" t="n">
        <x:v>1</x:v>
      </x:c>
      <x:c r="F104" s="29" t="str">
        <x:v>Sorption isotherm</x:v>
      </x:c>
      <x:c r="G104" s="29" t="n">
        <x:v>5</x:v>
      </x:c>
      <x:c r="H104" s="29" t="n">
        <x:v>2880</x:v>
      </x:c>
      <x:c r="I104" s="29" t="n">
        <x:v>348.210827</x:v>
      </x:c>
      <x:c r="J104" s="29" t="n">
        <x:v>2.061221</x:v>
      </x:c>
      <x:c r="K104" s="29" t="n">
        <x:v>1.551867</x:v>
      </x:c>
      <x:c r="L104" s="29"/>
      <x:c r="M104" s="29" t="n">
        <x:v>0.5</x:v>
      </x:c>
      <x:c r="N104" s="29" t="n">
        <x:v>22</x:v>
      </x:c>
      <x:c r="O104" s="29" t="n">
        <x:v>1.018708</x:v>
      </x:c>
      <x:c r="P104" s="29" t="n">
        <x:v>172.094693</x:v>
      </x:c>
      <x:c r="Q104" s="29" t="str">
        <x:v>S9</x:v>
      </x:c>
      <x:c r="R104" s="29" t="n">
        <x:v>32</x:v>
      </x:c>
      <x:c r="S104" s="29" t="n">
        <x:v>64</x:v>
      </x:c>
      <x:c r="T104" s="58" t="b">
        <x:v>1</x:v>
      </x:c>
      <x:c r="U104" s="29" t="str"/>
    </x:row>
    <x:row r="105">
      <x:c r="A105" s="29" t="str">
        <x:v>Tm</x:v>
      </x:c>
      <x:c r="B105" s="29" t="str">
        <x:v>P2-APEI</x:v>
      </x:c>
      <x:c r="C105" s="29" t="str">
        <x:v>Phosphorylated</x:v>
      </x:c>
      <x:c r="D105" s="29" t="str">
        <x:v>Single</x:v>
      </x:c>
      <x:c r="E105" s="29" t="n">
        <x:v>1</x:v>
      </x:c>
      <x:c r="F105" s="29" t="str">
        <x:v>Sorption isotherm</x:v>
      </x:c>
      <x:c r="G105" s="29" t="n">
        <x:v>5</x:v>
      </x:c>
      <x:c r="H105" s="29" t="n">
        <x:v>2880</x:v>
      </x:c>
      <x:c r="I105" s="29" t="n">
        <x:v>453.391631</x:v>
      </x:c>
      <x:c r="J105" s="29" t="n">
        <x:v>2.683835</x:v>
      </x:c>
      <x:c r="K105" s="29" t="n">
        <x:v>2.124481</x:v>
      </x:c>
      <x:c r="L105" s="29"/>
      <x:c r="M105" s="29" t="n">
        <x:v>0.5</x:v>
      </x:c>
      <x:c r="N105" s="29" t="n">
        <x:v>22</x:v>
      </x:c>
      <x:c r="O105" s="29" t="n">
        <x:v>1.118708</x:v>
      </x:c>
      <x:c r="P105" s="29" t="n">
        <x:v>188.988116</x:v>
      </x:c>
      <x:c r="Q105" s="29" t="str">
        <x:v>S9</x:v>
      </x:c>
      <x:c r="R105" s="29" t="n">
        <x:v>32</x:v>
      </x:c>
      <x:c r="S105" s="29" t="n">
        <x:v>65</x:v>
      </x:c>
      <x:c r="T105" s="58" t="b">
        <x:v>1</x:v>
      </x:c>
      <x:c r="U105" s="29" t="str"/>
    </x:row>
    <x:row r="106">
      <x:c r="A106" s="29" t="str">
        <x:v>Tm</x:v>
      </x:c>
      <x:c r="B106" s="29" t="str">
        <x:v>P2-APEI</x:v>
      </x:c>
      <x:c r="C106" s="29" t="str">
        <x:v>Phosphorylated</x:v>
      </x:c>
      <x:c r="D106" s="29" t="str">
        <x:v>Single</x:v>
      </x:c>
      <x:c r="E106" s="29" t="n">
        <x:v>1</x:v>
      </x:c>
      <x:c r="F106" s="29" t="str">
        <x:v>Sorption isotherm</x:v>
      </x:c>
      <x:c r="G106" s="29" t="n">
        <x:v>5</x:v>
      </x:c>
      <x:c r="H106" s="29" t="n">
        <x:v>2880</x:v>
      </x:c>
      <x:c r="I106" s="29" t="n">
        <x:v>488.094115</x:v>
      </x:c>
      <x:c r="J106" s="29" t="n">
        <x:v>2.889255</x:v>
      </x:c>
      <x:c r="K106" s="29" t="n">
        <x:v>2.323651</x:v>
      </x:c>
      <x:c r="L106" s="29"/>
      <x:c r="M106" s="29" t="n">
        <x:v>0.5</x:v>
      </x:c>
      <x:c r="N106" s="29" t="n">
        <x:v>22</x:v>
      </x:c>
      <x:c r="O106" s="29" t="n">
        <x:v>1.131208</x:v>
      </x:c>
      <x:c r="P106" s="29" t="n">
        <x:v>191.099787</x:v>
      </x:c>
      <x:c r="Q106" s="29" t="str">
        <x:v>S9</x:v>
      </x:c>
      <x:c r="R106" s="29" t="n">
        <x:v>32</x:v>
      </x:c>
      <x:c r="S106" s="29" t="n">
        <x:v>66</x:v>
      </x:c>
      <x:c r="T106" s="58" t="b">
        <x:v>1</x:v>
      </x:c>
      <x:c r="U106" s="29" t="str"/>
    </x:row>
    <x:row r="107">
      <x:c r="A107" s="29" t="str">
        <x:v>Tm</x:v>
      </x:c>
      <x:c r="B107" s="29" t="str">
        <x:v>P2-APEI</x:v>
      </x:c>
      <x:c r="C107" s="29" t="str">
        <x:v>Phosphorylated</x:v>
      </x:c>
      <x:c r="D107" s="29" t="str">
        <x:v>Single</x:v>
      </x:c>
      <x:c r="E107" s="29" t="n">
        <x:v>2</x:v>
      </x:c>
      <x:c r="F107" s="29" t="str">
        <x:v>Sorption isotherm</x:v>
      </x:c>
      <x:c r="G107" s="29" t="n">
        <x:v>5</x:v>
      </x:c>
      <x:c r="H107" s="29" t="n">
        <x:v>2880</x:v>
      </x:c>
      <x:c r="I107" s="29" t="n">
        <x:v>0.000048</x:v>
      </x:c>
      <x:c r="J107" s="29" t="n">
        <x:v>0</x:v>
      </x:c>
      <x:c r="K107" s="29" t="n">
        <x:v>0</x:v>
      </x:c>
      <x:c r="L107" s="29"/>
      <x:c r="M107" s="29" t="n">
        <x:v>0.5</x:v>
      </x:c>
      <x:c r="N107" s="29" t="n">
        <x:v>22</x:v>
      </x:c>
      <x:c r="O107" s="29" t="n">
        <x:v>0</x:v>
      </x:c>
      <x:c r="P107" s="29" t="n">
        <x:v>0.000066</x:v>
      </x:c>
      <x:c r="Q107" s="29" t="str">
        <x:v>S9</x:v>
      </x:c>
      <x:c r="R107" s="29" t="n">
        <x:v>32</x:v>
      </x:c>
      <x:c r="S107" s="29" t="n">
        <x:v>67</x:v>
      </x:c>
      <x:c r="T107" s="58" t="b">
        <x:v>0</x:v>
      </x:c>
      <x:c r="U107" s="29" t="str">
        <x:v>Origin anchor at (0,0); outside reported C0=10–500 mg/L range</x:v>
      </x:c>
    </x:row>
    <x:row r="108">
      <x:c r="A108" s="29" t="str">
        <x:v>Tm</x:v>
      </x:c>
      <x:c r="B108" s="29" t="str">
        <x:v>P2-APEI</x:v>
      </x:c>
      <x:c r="C108" s="29" t="str">
        <x:v>Phosphorylated</x:v>
      </x:c>
      <x:c r="D108" s="29" t="str">
        <x:v>Single</x:v>
      </x:c>
      <x:c r="E108" s="29" t="n">
        <x:v>2</x:v>
      </x:c>
      <x:c r="F108" s="29" t="str">
        <x:v>Sorption isotherm</x:v>
      </x:c>
      <x:c r="G108" s="29" t="n">
        <x:v>5</x:v>
      </x:c>
      <x:c r="H108" s="29" t="n">
        <x:v>2880</x:v>
      </x:c>
      <x:c r="I108" s="29" t="n">
        <x:v>10.012985</x:v>
      </x:c>
      <x:c r="J108" s="29" t="n">
        <x:v>0.059272</x:v>
      </x:c>
      <x:c r="K108" s="29" t="n">
        <x:v>0.024896</x:v>
      </x:c>
      <x:c r="L108" s="29"/>
      <x:c r="M108" s="29" t="n">
        <x:v>0.5</x:v>
      </x:c>
      <x:c r="N108" s="29" t="n">
        <x:v>22</x:v>
      </x:c>
      <x:c r="O108" s="29" t="n">
        <x:v>0.06875</x:v>
      </x:c>
      <x:c r="P108" s="29" t="n">
        <x:v>11.614279</x:v>
      </x:c>
      <x:c r="Q108" s="29" t="str">
        <x:v>S9</x:v>
      </x:c>
      <x:c r="R108" s="29" t="n">
        <x:v>32</x:v>
      </x:c>
      <x:c r="S108" s="29" t="n">
        <x:v>68</x:v>
      </x:c>
      <x:c r="T108" s="58" t="b">
        <x:v>1</x:v>
      </x:c>
      <x:c r="U108" s="29" t="str"/>
    </x:row>
    <x:row r="109">
      <x:c r="A109" s="29" t="str">
        <x:v>Tm</x:v>
      </x:c>
      <x:c r="B109" s="29" t="str">
        <x:v>P2-APEI</x:v>
      </x:c>
      <x:c r="C109" s="29" t="str">
        <x:v>Phosphorylated</x:v>
      </x:c>
      <x:c r="D109" s="29" t="str">
        <x:v>Single</x:v>
      </x:c>
      <x:c r="E109" s="29" t="n">
        <x:v>2</x:v>
      </x:c>
      <x:c r="F109" s="29" t="str">
        <x:v>Sorption isotherm</x:v>
      </x:c>
      <x:c r="G109" s="29" t="n">
        <x:v>5</x:v>
      </x:c>
      <x:c r="H109" s="29" t="n">
        <x:v>2880</x:v>
      </x:c>
      <x:c r="I109" s="29" t="n">
        <x:v>22.137623</x:v>
      </x:c>
      <x:c r="J109" s="29" t="n">
        <x:v>0.131043</x:v>
      </x:c>
      <x:c r="K109" s="29" t="n">
        <x:v>0.049793</x:v>
      </x:c>
      <x:c r="L109" s="29"/>
      <x:c r="M109" s="29" t="n">
        <x:v>0.5</x:v>
      </x:c>
      <x:c r="N109" s="29" t="n">
        <x:v>22</x:v>
      </x:c>
      <x:c r="O109" s="29" t="n">
        <x:v>0.1625</x:v>
      </x:c>
      <x:c r="P109" s="29" t="n">
        <x:v>27.451878</x:v>
      </x:c>
      <x:c r="Q109" s="29" t="str">
        <x:v>S9</x:v>
      </x:c>
      <x:c r="R109" s="29" t="n">
        <x:v>32</x:v>
      </x:c>
      <x:c r="S109" s="29" t="n">
        <x:v>69</x:v>
      </x:c>
      <x:c r="T109" s="58" t="b">
        <x:v>1</x:v>
      </x:c>
      <x:c r="U109" s="29" t="str"/>
    </x:row>
    <x:row r="110">
      <x:c r="A110" s="29" t="str">
        <x:v>Tm</x:v>
      </x:c>
      <x:c r="B110" s="29" t="str">
        <x:v>P2-APEI</x:v>
      </x:c>
      <x:c r="C110" s="29" t="str">
        <x:v>Phosphorylated</x:v>
      </x:c>
      <x:c r="D110" s="29" t="str">
        <x:v>Single</x:v>
      </x:c>
      <x:c r="E110" s="29" t="n">
        <x:v>2</x:v>
      </x:c>
      <x:c r="F110" s="29" t="str">
        <x:v>Sorption isotherm</x:v>
      </x:c>
      <x:c r="G110" s="29" t="n">
        <x:v>5</x:v>
      </x:c>
      <x:c r="H110" s="29" t="n">
        <x:v>2880</x:v>
      </x:c>
      <x:c r="I110" s="29" t="n">
        <x:v>49.701133</x:v>
      </x:c>
      <x:c r="J110" s="29" t="n">
        <x:v>0.294204</x:v>
      </x:c>
      <x:c r="K110" s="29" t="n">
        <x:v>0.141079</x:v>
      </x:c>
      <x:c r="L110" s="29"/>
      <x:c r="M110" s="29" t="n">
        <x:v>0.5</x:v>
      </x:c>
      <x:c r="N110" s="29" t="n">
        <x:v>22</x:v>
      </x:c>
      <x:c r="O110" s="29" t="n">
        <x:v>0.30625</x:v>
      </x:c>
      <x:c r="P110" s="29" t="n">
        <x:v>51.73616</x:v>
      </x:c>
      <x:c r="Q110" s="29" t="str">
        <x:v>S9</x:v>
      </x:c>
      <x:c r="R110" s="29" t="n">
        <x:v>32</x:v>
      </x:c>
      <x:c r="S110" s="29" t="n">
        <x:v>70</x:v>
      </x:c>
      <x:c r="T110" s="58" t="b">
        <x:v>1</x:v>
      </x:c>
      <x:c r="U110" s="29" t="str"/>
    </x:row>
    <x:row r="111">
      <x:c r="A111" s="29" t="str">
        <x:v>Tm</x:v>
      </x:c>
      <x:c r="B111" s="29" t="str">
        <x:v>P2-APEI</x:v>
      </x:c>
      <x:c r="C111" s="29" t="str">
        <x:v>Phosphorylated</x:v>
      </x:c>
      <x:c r="D111" s="29" t="str">
        <x:v>Single</x:v>
      </x:c>
      <x:c r="E111" s="29" t="n">
        <x:v>2</x:v>
      </x:c>
      <x:c r="F111" s="29" t="str">
        <x:v>Sorption isotherm</x:v>
      </x:c>
      <x:c r="G111" s="29" t="n">
        <x:v>5</x:v>
      </x:c>
      <x:c r="H111" s="29" t="n">
        <x:v>2880</x:v>
      </x:c>
      <x:c r="I111" s="29" t="n">
        <x:v>101.805689</x:v>
      </x:c>
      <x:c r="J111" s="29" t="n">
        <x:v>0.602635</x:v>
      </x:c>
      <x:c r="K111" s="29" t="n">
        <x:v>0.365145</x:v>
      </x:c>
      <x:c r="L111" s="29"/>
      <x:c r="M111" s="29" t="n">
        <x:v>0.5</x:v>
      </x:c>
      <x:c r="N111" s="29" t="n">
        <x:v>22</x:v>
      </x:c>
      <x:c r="O111" s="29" t="n">
        <x:v>0.474979</x:v>
      </x:c>
      <x:c r="P111" s="29" t="n">
        <x:v>80.240284</x:v>
      </x:c>
      <x:c r="Q111" s="29" t="str">
        <x:v>S9</x:v>
      </x:c>
      <x:c r="R111" s="29" t="n">
        <x:v>32</x:v>
      </x:c>
      <x:c r="S111" s="29" t="n">
        <x:v>71</x:v>
      </x:c>
      <x:c r="T111" s="58" t="b">
        <x:v>1</x:v>
      </x:c>
      <x:c r="U111" s="29" t="str"/>
    </x:row>
    <x:row r="112">
      <x:c r="A112" s="29" t="str">
        <x:v>Tm</x:v>
      </x:c>
      <x:c r="B112" s="29" t="str">
        <x:v>P2-APEI</x:v>
      </x:c>
      <x:c r="C112" s="29" t="str">
        <x:v>Phosphorylated</x:v>
      </x:c>
      <x:c r="D112" s="29" t="str">
        <x:v>Single</x:v>
      </x:c>
      <x:c r="E112" s="29" t="n">
        <x:v>2</x:v>
      </x:c>
      <x:c r="F112" s="29" t="str">
        <x:v>Sorption isotherm</x:v>
      </x:c>
      <x:c r="G112" s="29" t="n">
        <x:v>5</x:v>
      </x:c>
      <x:c r="H112" s="29" t="n">
        <x:v>2880</x:v>
      </x:c>
      <x:c r="I112" s="29" t="n">
        <x:v>148.994638</x:v>
      </x:c>
      <x:c r="J112" s="29" t="n">
        <x:v>0.881968</x:v>
      </x:c>
      <x:c r="K112" s="29" t="n">
        <x:v>0.572614</x:v>
      </x:c>
      <x:c r="L112" s="29"/>
      <x:c r="M112" s="29" t="n">
        <x:v>0.5</x:v>
      </x:c>
      <x:c r="N112" s="29" t="n">
        <x:v>22</x:v>
      </x:c>
      <x:c r="O112" s="29" t="n">
        <x:v>0.618708</x:v>
      </x:c>
      <x:c r="P112" s="29" t="n">
        <x:v>104.521033</x:v>
      </x:c>
      <x:c r="Q112" s="29" t="str">
        <x:v>S9</x:v>
      </x:c>
      <x:c r="R112" s="29" t="n">
        <x:v>32</x:v>
      </x:c>
      <x:c r="S112" s="29" t="n">
        <x:v>72</x:v>
      </x:c>
      <x:c r="T112" s="58" t="b">
        <x:v>1</x:v>
      </x:c>
      <x:c r="U112" s="29" t="str"/>
    </x:row>
    <x:row r="113">
      <x:c r="A113" s="29" t="str">
        <x:v>Tm</x:v>
      </x:c>
      <x:c r="B113" s="29" t="str">
        <x:v>P2-APEI</x:v>
      </x:c>
      <x:c r="C113" s="29" t="str">
        <x:v>Phosphorylated</x:v>
      </x:c>
      <x:c r="D113" s="29" t="str">
        <x:v>Single</x:v>
      </x:c>
      <x:c r="E113" s="29" t="n">
        <x:v>2</x:v>
      </x:c>
      <x:c r="F113" s="29" t="str">
        <x:v>Sorption isotherm</x:v>
      </x:c>
      <x:c r="G113" s="29" t="n">
        <x:v>5</x:v>
      </x:c>
      <x:c r="H113" s="29" t="n">
        <x:v>2880</x:v>
      </x:c>
      <x:c r="I113" s="29" t="n">
        <x:v>201.447054</x:v>
      </x:c>
      <x:c r="J113" s="29" t="n">
        <x:v>1.192459</x:v>
      </x:c>
      <x:c r="K113" s="29" t="n">
        <x:v>0.804979</x:v>
      </x:c>
      <x:c r="L113" s="29"/>
      <x:c r="M113" s="29" t="n">
        <x:v>0.5</x:v>
      </x:c>
      <x:c r="N113" s="29" t="n">
        <x:v>22</x:v>
      </x:c>
      <x:c r="O113" s="29" t="n">
        <x:v>0.774958</x:v>
      </x:c>
      <x:c r="P113" s="29" t="n">
        <x:v>130.917009</x:v>
      </x:c>
      <x:c r="Q113" s="29" t="str">
        <x:v>S9</x:v>
      </x:c>
      <x:c r="R113" s="29" t="n">
        <x:v>32</x:v>
      </x:c>
      <x:c r="S113" s="29" t="n">
        <x:v>73</x:v>
      </x:c>
      <x:c r="T113" s="58" t="b">
        <x:v>1</x:v>
      </x:c>
      <x:c r="U113" s="29" t="str"/>
    </x:row>
    <x:row r="114">
      <x:c r="A114" s="29" t="str">
        <x:v>Tm</x:v>
      </x:c>
      <x:c r="B114" s="29" t="str">
        <x:v>P2-APEI</x:v>
      </x:c>
      <x:c r="C114" s="29" t="str">
        <x:v>Phosphorylated</x:v>
      </x:c>
      <x:c r="D114" s="29" t="str">
        <x:v>Single</x:v>
      </x:c>
      <x:c r="E114" s="29" t="n">
        <x:v>2</x:v>
      </x:c>
      <x:c r="F114" s="29" t="str">
        <x:v>Sorption isotherm</x:v>
      </x:c>
      <x:c r="G114" s="29" t="n">
        <x:v>5</x:v>
      </x:c>
      <x:c r="H114" s="29" t="n">
        <x:v>2880</x:v>
      </x:c>
      <x:c r="I114" s="29" t="n">
        <x:v>298.94346</x:v>
      </x:c>
      <x:c r="J114" s="29" t="n">
        <x:v>1.769585</x:v>
      </x:c>
      <x:c r="K114" s="29" t="n">
        <x:v>1.294606</x:v>
      </x:c>
      <x:c r="L114" s="29"/>
      <x:c r="M114" s="29" t="n">
        <x:v>0.5</x:v>
      </x:c>
      <x:c r="N114" s="29" t="n">
        <x:v>22</x:v>
      </x:c>
      <x:c r="O114" s="29" t="n">
        <x:v>0.949958</x:v>
      </x:c>
      <x:c r="P114" s="29" t="n">
        <x:v>160.480491</x:v>
      </x:c>
      <x:c r="Q114" s="29" t="str">
        <x:v>S9</x:v>
      </x:c>
      <x:c r="R114" s="29" t="n">
        <x:v>32</x:v>
      </x:c>
      <x:c r="S114" s="29" t="n">
        <x:v>74</x:v>
      </x:c>
      <x:c r="T114" s="58" t="b">
        <x:v>1</x:v>
      </x:c>
      <x:c r="U114" s="29" t="str"/>
    </x:row>
    <x:row r="115">
      <x:c r="A115" s="29" t="str">
        <x:v>Tm</x:v>
      </x:c>
      <x:c r="B115" s="29" t="str">
        <x:v>P2-APEI</x:v>
      </x:c>
      <x:c r="C115" s="29" t="str">
        <x:v>Phosphorylated</x:v>
      </x:c>
      <x:c r="D115" s="29" t="str">
        <x:v>Single</x:v>
      </x:c>
      <x:c r="E115" s="29" t="n">
        <x:v>2</x:v>
      </x:c>
      <x:c r="F115" s="29" t="str">
        <x:v>Sorption isotherm</x:v>
      </x:c>
      <x:c r="G115" s="29" t="n">
        <x:v>5</x:v>
      </x:c>
      <x:c r="H115" s="29" t="n">
        <x:v>2880</x:v>
      </x:c>
      <x:c r="I115" s="29" t="n">
        <x:v>351.906263</x:v>
      </x:c>
      <x:c r="J115" s="29" t="n">
        <x:v>2.083096</x:v>
      </x:c>
      <x:c r="K115" s="29" t="n">
        <x:v>1.551867</x:v>
      </x:c>
      <x:c r="L115" s="29"/>
      <x:c r="M115" s="29" t="n">
        <x:v>0.5</x:v>
      </x:c>
      <x:c r="N115" s="29" t="n">
        <x:v>22</x:v>
      </x:c>
      <x:c r="O115" s="29" t="n">
        <x:v>1.062458</x:v>
      </x:c>
      <x:c r="P115" s="29" t="n">
        <x:v>179.485563</x:v>
      </x:c>
      <x:c r="Q115" s="29" t="str">
        <x:v>S9</x:v>
      </x:c>
      <x:c r="R115" s="29" t="n">
        <x:v>32</x:v>
      </x:c>
      <x:c r="S115" s="29" t="n">
        <x:v>75</x:v>
      </x:c>
      <x:c r="T115" s="58" t="b">
        <x:v>1</x:v>
      </x:c>
      <x:c r="U115" s="29" t="str"/>
    </x:row>
    <x:row r="116">
      <x:c r="A116" s="29" t="str">
        <x:v>Tm</x:v>
      </x:c>
      <x:c r="B116" s="29" t="str">
        <x:v>P2-APEI</x:v>
      </x:c>
      <x:c r="C116" s="29" t="str">
        <x:v>Phosphorylated</x:v>
      </x:c>
      <x:c r="D116" s="29" t="str">
        <x:v>Single</x:v>
      </x:c>
      <x:c r="E116" s="29" t="n">
        <x:v>2</x:v>
      </x:c>
      <x:c r="F116" s="29" t="str">
        <x:v>Sorption isotherm</x:v>
      </x:c>
      <x:c r="G116" s="29" t="n">
        <x:v>5</x:v>
      </x:c>
      <x:c r="H116" s="29" t="n">
        <x:v>2880</x:v>
      </x:c>
      <x:c r="I116" s="29" t="n">
        <x:v>448.329313</x:v>
      </x:c>
      <x:c r="J116" s="29" t="n">
        <x:v>2.653869</x:v>
      </x:c>
      <x:c r="K116" s="29" t="n">
        <x:v>2.06639</x:v>
      </x:c>
      <x:c r="L116" s="29"/>
      <x:c r="M116" s="29" t="n">
        <x:v>0.5</x:v>
      </x:c>
      <x:c r="N116" s="29" t="n">
        <x:v>22</x:v>
      </x:c>
      <x:c r="O116" s="29" t="n">
        <x:v>1.174958</x:v>
      </x:c>
      <x:c r="P116" s="29" t="n">
        <x:v>198.490657</x:v>
      </x:c>
      <x:c r="Q116" s="29" t="str">
        <x:v>S9</x:v>
      </x:c>
      <x:c r="R116" s="29" t="n">
        <x:v>32</x:v>
      </x:c>
      <x:c r="S116" s="29" t="n">
        <x:v>76</x:v>
      </x:c>
      <x:c r="T116" s="58" t="b">
        <x:v>1</x:v>
      </x:c>
      <x:c r="U116" s="29" t="str"/>
    </x:row>
    <x:row r="117">
      <x:c r="A117" s="29" t="str">
        <x:v>Tm</x:v>
      </x:c>
      <x:c r="B117" s="29" t="str">
        <x:v>P2-APEI</x:v>
      </x:c>
      <x:c r="C117" s="29" t="str">
        <x:v>Phosphorylated</x:v>
      </x:c>
      <x:c r="D117" s="29" t="str">
        <x:v>Single</x:v>
      </x:c>
      <x:c r="E117" s="29" t="n">
        <x:v>2</x:v>
      </x:c>
      <x:c r="F117" s="29" t="str">
        <x:v>Sorption isotherm</x:v>
      </x:c>
      <x:c r="G117" s="29" t="n">
        <x:v>5</x:v>
      </x:c>
      <x:c r="H117" s="29" t="n">
        <x:v>2880</x:v>
      </x:c>
      <x:c r="I117" s="29" t="n">
        <x:v>513.364175</x:v>
      </x:c>
      <x:c r="J117" s="29" t="n">
        <x:v>3.038841</x:v>
      </x:c>
      <x:c r="K117" s="29" t="n">
        <x:v>2.423237</x:v>
      </x:c>
      <x:c r="L117" s="29"/>
      <x:c r="M117" s="29" t="n">
        <x:v>0.5</x:v>
      </x:c>
      <x:c r="N117" s="29" t="n">
        <x:v>22</x:v>
      </x:c>
      <x:c r="O117" s="29" t="n">
        <x:v>1.231208</x:v>
      </x:c>
      <x:c r="P117" s="29" t="n">
        <x:v>207.993199</x:v>
      </x:c>
      <x:c r="Q117" s="29" t="str">
        <x:v>S9</x:v>
      </x:c>
      <x:c r="R117" s="29" t="n">
        <x:v>32</x:v>
      </x:c>
      <x:c r="S117" s="29" t="n">
        <x:v>77</x:v>
      </x:c>
      <x:c r="T117" s="58" t="b">
        <x:v>1</x:v>
      </x:c>
      <x:c r="U117" s="29" t="str"/>
    </x:row>
  </x:sheetData>
  <x:pageMargins left="0.7" right="0.7" top="0.75" bottom="0.75" header="0.3" footer="0.3"/>
  <x:tableParts count="1">
    <x:tablePart xmlns:r="http://schemas.openxmlformats.org/officeDocument/2006/relationships" r:id="Rb55dc381215f425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28" hidden="0" customWidth="1"/>
    <x:col min="4" max="4" width="28" hidden="0" customWidth="1"/>
    <x:col min="6" max="6" width="28" hidden="0" customWidth="1"/>
    <x:col min="7" max="7" width="28" hidden="0" customWidth="1"/>
    <x:col min="8" max="8" width="48" hidden="0" customWidth="1"/>
  </x:cols>
  <x:sheetData>
    <x:row r="1" ht="16.799999237060547" hidden="0" customHeight="1">
      <x:c r="A1" s="70" t="str">
        <x:v>Source, Extraction Method, and Variable Definitions</x:v>
      </x:c>
      <x:c r="B1" s="70"/>
      <x:c r="C1" s="70"/>
      <x:c r="D1" s="70"/>
      <x:c r="F1" s="127" t="str">
        <x:v>ML FEATURE SELECTION</x:v>
      </x:c>
      <x:c r="G1" s="127"/>
      <x:c r="H1" s="127"/>
    </x:row>
    <x:row r="2" ht="15" hidden="0" customHeight="1">
      <x:c r="A2" s="29"/>
      <x:c r="B2" s="29"/>
      <x:c r="C2" s="29"/>
      <x:c r="D2" s="29"/>
      <x:c r="F2" s="29"/>
      <x:c r="G2" s="29"/>
      <x:c r="H2" s="29"/>
    </x:row>
    <x:row r="3" ht="15" hidden="0" customHeight="1">
      <x:c r="A3" s="71" t="str">
        <x:v>Field</x:v>
      </x:c>
      <x:c r="B3" s="71" t="str">
        <x:v>Meaning</x:v>
      </x:c>
      <x:c r="C3" s="71" t="str">
        <x:v>Unit / Encoding</x:v>
      </x:c>
      <x:c r="D3" s="71" t="str">
        <x:v>Source / Note</x:v>
      </x:c>
      <x:c r="F3" s="84" t="str">
        <x:v>Type</x:v>
      </x:c>
      <x:c r="G3" s="84" t="str">
        <x:v>Variable</x:v>
      </x:c>
      <x:c r="H3" s="84" t="str">
        <x:v>Reason</x:v>
      </x:c>
    </x:row>
    <x:row r="4" ht="15" hidden="0" customHeight="1">
      <x:c r="A4" s="29" t="str">
        <x:v>Metal</x:v>
      </x:c>
      <x:c r="B4" s="29" t="str">
        <x:v>Rare-earth ion</x:v>
      </x:c>
      <x:c r="C4" s="29" t="str">
        <x:v>Pr or Tm</x:v>
      </x:c>
      <x:c r="D4" s="29" t="str">
        <x:v>Paper Figure S8/S9</x:v>
      </x:c>
      <x:c r="F4" s="29" t="str">
        <x:v>INPUT</x:v>
      </x:c>
      <x:c r="G4" s="29" t="str">
        <x:v>Metal</x:v>
      </x:c>
      <x:c r="H4" s="29" t="str">
        <x:v>Varies: Pr / Tm</x:v>
      </x:c>
    </x:row>
    <x:row r="5" ht="26.399999618530273" hidden="0" customHeight="1">
      <x:c r="A5" s="29" t="str">
        <x:v>Adsorbent</x:v>
      </x:c>
      <x:c r="B5" s="29" t="str">
        <x:v>Functionalized sorbent</x:v>
      </x:c>
      <x:c r="C5" s="29" t="str">
        <x:v>P2-APEI</x:v>
      </x:c>
      <x:c r="D5" s="29" t="str">
        <x:v>Phosphorylated algal biomass/PEI hydrogel</x:v>
      </x:c>
      <x:c r="F5" s="29" t="str">
        <x:v>INPUT</x:v>
      </x:c>
      <x:c r="G5" s="29" t="str">
        <x:v>System</x:v>
      </x:c>
      <x:c r="H5" s="29" t="str">
        <x:v>Varies: Single / Binary</x:v>
      </x:c>
    </x:row>
    <x:row r="6" ht="15" hidden="0" customHeight="1">
      <x:c r="A6" s="29" t="str">
        <x:v>System</x:v>
      </x:c>
      <x:c r="B6" s="29" t="str">
        <x:v>Solution type</x:v>
      </x:c>
      <x:c r="C6" s="29" t="str">
        <x:v>Single / Binary</x:v>
      </x:c>
      <x:c r="D6" s="29" t="str">
        <x:v>S8a/S9 single; S8b binary</x:v>
      </x:c>
      <x:c r="F6" s="29" t="str">
        <x:v>INPUT</x:v>
      </x:c>
      <x:c r="G6" s="29" t="str">
        <x:v>Experiment</x:v>
      </x:c>
      <x:c r="H6" s="29" t="str">
        <x:v>Varies: kinetics / isotherm</x:v>
      </x:c>
    </x:row>
    <x:row r="7" ht="15" hidden="0" customHeight="1">
      <x:c r="A7" s="29" t="str">
        <x:v>Replicate</x:v>
      </x:c>
      <x:c r="B7" s="29" t="str">
        <x:v>Experimental replicate number</x:v>
      </x:c>
      <x:c r="C7" s="29" t="str">
        <x:v>1 or 2</x:v>
      </x:c>
      <x:c r="D7" s="29" t="str">
        <x:v>Duplicate series shown in paper</x:v>
      </x:c>
      <x:c r="F7" s="29" t="str">
        <x:v>INPUT</x:v>
      </x:c>
      <x:c r="G7" s="29" t="str">
        <x:v>Contact time</x:v>
      </x:c>
      <x:c r="H7" s="29" t="str">
        <x:v>Varies</x:v>
      </x:c>
    </x:row>
    <x:row r="8" ht="15" hidden="0" customHeight="1">
      <x:c r="A8" s="29" t="str">
        <x:v>pH0</x:v>
      </x:c>
      <x:c r="B8" s="29" t="str">
        <x:v>Initial pH</x:v>
      </x:c>
      <x:c r="C8" s="29" t="str">
        <x:v>dimensionless</x:v>
      </x:c>
      <x:c r="D8" s="29" t="str">
        <x:v>5 for S8a, S8b, S9</x:v>
      </x:c>
      <x:c r="F8" s="29" t="str">
        <x:v>INPUT</x:v>
      </x:c>
      <x:c r="G8" s="29" t="str">
        <x:v>C0</x:v>
      </x:c>
      <x:c r="H8" s="29" t="str">
        <x:v>Varies</x:v>
      </x:c>
    </x:row>
    <x:row r="9" ht="15" hidden="0" customHeight="1">
      <x:c r="A9" s="29" t="str">
        <x:v>Contact_Time_min</x:v>
      </x:c>
      <x:c r="B9" s="29" t="str">
        <x:v>Contact time</x:v>
      </x:c>
      <x:c r="C9" s="29" t="str">
        <x:v>min</x:v>
      </x:c>
      <x:c r="D9" s="29" t="str">
        <x:v>S8 kinetics; S9 = 48 h = 2880 min</x:v>
      </x:c>
      <x:c r="F9" s="29" t="str">
        <x:v>INPUT</x:v>
      </x:c>
      <x:c r="G9" s="29" t="str">
        <x:v>Adsorbent dose</x:v>
      </x:c>
      <x:c r="H9" s="29" t="str">
        <x:v>Varies</x:v>
      </x:c>
    </x:row>
    <x:row r="10" ht="26.399999618530273" hidden="0" customHeight="1">
      <x:c r="A10" s="29" t="str">
        <x:v>C0_mg_L</x:v>
      </x:c>
      <x:c r="B10" s="29" t="str">
        <x:v>Initial metal concentration</x:v>
      </x:c>
      <x:c r="C10" s="29" t="str">
        <x:v>mg/L</x:v>
      </x:c>
      <x:c r="D10" s="29" t="str">
        <x:v>50 mg/L in kinetics; reconstructed for isotherms</x:v>
      </x:c>
      <x:c r="F10" s="29" t="str">
        <x:v>OUTPUT</x:v>
      </x:c>
      <x:c r="G10" s="29" t="str">
        <x:v>qe (mg/g)</x:v>
      </x:c>
      <x:c r="H10" s="29" t="str">
        <x:v>Prediction target</x:v>
      </x:c>
    </x:row>
    <x:row r="11" ht="15" hidden="0" customHeight="1">
      <x:c r="A11" s="29" t="str">
        <x:v>C0_mmol_L</x:v>
      </x:c>
      <x:c r="B11" s="29" t="str">
        <x:v>Initial molar concentration</x:v>
      </x:c>
      <x:c r="C11" s="29" t="str">
        <x:v>mmol/L</x:v>
      </x:c>
      <x:c r="D11" s="29" t="str">
        <x:v>Converted/reconstructed</x:v>
      </x:c>
      <x:c r="F11" s="29"/>
      <x:c r="G11" s="29"/>
      <x:c r="H11" s="29"/>
    </x:row>
    <x:row r="12" ht="15" hidden="0" customHeight="1">
      <x:c r="A12" s="29" t="str">
        <x:v>Ceq_or_Ct_mmol_L</x:v>
      </x:c>
      <x:c r="B12" s="29" t="str">
        <x:v>Equilibrium or time-t concentration</x:v>
      </x:c>
      <x:c r="C12" s="29" t="str">
        <x:v>mmol/L</x:v>
      </x:c>
      <x:c r="D12" s="29" t="str">
        <x:v>Vector-digitized / calculated</x:v>
      </x:c>
      <x:c r="F12" s="128" t="str">
        <x:v>Not used as ML input</x:v>
      </x:c>
      <x:c r="G12" s="128" t="str">
        <x:v>Value / reason</x:v>
      </x:c>
      <x:c r="H12" s="128" t="str"/>
    </x:row>
    <x:row r="13" ht="15" hidden="0" customHeight="1">
      <x:c r="A13" s="29" t="str">
        <x:v>C_over_C0</x:v>
      </x:c>
      <x:c r="B13" s="29" t="str">
        <x:v>Concentration ratio during kinetics</x:v>
      </x:c>
      <x:c r="C13" s="29" t="str">
        <x:v>dimensionless</x:v>
      </x:c>
      <x:c r="D13" s="29" t="str">
        <x:v>Directly digitized from S8a/S8b</x:v>
      </x:c>
      <x:c r="F13" s="29" t="str">
        <x:v>pH0</x:v>
      </x:c>
      <x:c r="G13" s="29" t="str">
        <x:v>Constant = 5 in selected source figures</x:v>
      </x:c>
      <x:c r="H13" s="29" t="str"/>
    </x:row>
    <x:row r="14" ht="15" hidden="0" customHeight="1">
      <x:c r="A14" s="29" t="str">
        <x:v>Adsorbent_Dose_g_L</x:v>
      </x:c>
      <x:c r="B14" s="29" t="str">
        <x:v>Sorbent dose</x:v>
      </x:c>
      <x:c r="C14" s="29" t="str">
        <x:v>g/L</x:v>
      </x:c>
      <x:c r="D14" s="29" t="str">
        <x:v>0.25 kinetics; 0.5 isotherms</x:v>
      </x:c>
      <x:c r="F14" s="29" t="str">
        <x:v>Temperature</x:v>
      </x:c>
      <x:c r="G14" s="29" t="str">
        <x:v>Constant ≈ 22 °C</x:v>
      </x:c>
      <x:c r="H14" s="29" t="str"/>
    </x:row>
    <x:row r="15" ht="15" hidden="0" customHeight="1">
      <x:c r="A15" s="29" t="str">
        <x:v>Temperature_C</x:v>
      </x:c>
      <x:c r="B15" s="29" t="str">
        <x:v>Experimental temperature</x:v>
      </x:c>
      <x:c r="C15" s="29" t="str">
        <x:v>°C</x:v>
      </x:c>
      <x:c r="D15" s="29" t="str">
        <x:v>22 ± 1 °C; 22 stored as nominal</x:v>
      </x:c>
      <x:c r="F15" s="29" t="str">
        <x:v>C(t)/C0, Ce/Ct</x:v>
      </x:c>
      <x:c r="G15" s="29" t="str">
        <x:v>Excluded to avoid target leakage because qe is derived from concentration change</x:v>
      </x:c>
      <x:c r="H15" s="29" t="str"/>
    </x:row>
    <x:row r="16" ht="15" hidden="0" customHeight="1">
      <x:c r="A16" s="29" t="str">
        <x:v>qe_mmol_g</x:v>
      </x:c>
      <x:c r="B16" s="29" t="str">
        <x:v>Adsorption capacity / target</x:v>
      </x:c>
      <x:c r="C16" s="29" t="str">
        <x:v>mmol/g</x:v>
      </x:c>
      <x:c r="D16" s="29" t="str">
        <x:v>Calculated for kinetics; digitized in S9</x:v>
      </x:c>
      <x:c r="F16" s="29" t="str">
        <x:v>qe (mmol/g)</x:v>
      </x:c>
      <x:c r="G16" s="29" t="str">
        <x:v>Alternative unit of same target; do not use together with qe (mg/g)</x:v>
      </x:c>
      <x:c r="H16" s="29" t="str"/>
    </x:row>
    <x:row r="17" ht="26.399999618530273" hidden="0" customHeight="1">
      <x:c r="A17" s="29" t="str">
        <x:v>qe_mg_g</x:v>
      </x:c>
      <x:c r="B17" s="29" t="str">
        <x:v>Adsorption capacity / target</x:v>
      </x:c>
      <x:c r="C17" s="29" t="str">
        <x:v>mg/g</x:v>
      </x:c>
      <x:c r="D17" s="29" t="str">
        <x:v>Converted with elemental molar mass</x:v>
      </x:c>
    </x:row>
    <x:row r="18" ht="15" hidden="0" customHeight="1">
      <x:c r="A18" s="29"/>
      <x:c r="B18" s="29"/>
      <x:c r="C18" s="29"/>
      <x:c r="D18" s="29"/>
    </x:row>
    <x:row r="19" ht="15" hidden="0" customHeight="1">
      <x:c r="A19" s="71" t="str">
        <x:v>Constant</x:v>
      </x:c>
      <x:c r="B19" s="71" t="str">
        <x:v>Value</x:v>
      </x:c>
      <x:c r="C19" s="29"/>
      <x:c r="D19" s="29"/>
    </x:row>
    <x:row r="20" ht="15" hidden="0" customHeight="1">
      <x:c r="A20" s="29" t="str">
        <x:v>Pr molar mass (g/mol = mg/mmol)</x:v>
      </x:c>
      <x:c r="B20" s="29" t="n">
        <x:v>140.90766</x:v>
      </x:c>
      <x:c r="C20" s="29"/>
      <x:c r="D20" s="29"/>
    </x:row>
    <x:row r="21" ht="15" hidden="0" customHeight="1">
      <x:c r="A21" s="29" t="str">
        <x:v>Tm molar mass (g/mol = mg/mmol)</x:v>
      </x:c>
      <x:c r="B21" s="29" t="n">
        <x:v>168.93422</x:v>
      </x:c>
      <x:c r="C21" s="29"/>
      <x:c r="D21" s="29"/>
    </x:row>
    <x:row r="22" ht="15" hidden="0" customHeight="1">
      <x:c r="A22" s="29" t="str">
        <x:v>Kinetic equation</x:v>
      </x:c>
      <x:c r="B22" s="29" t="str">
        <x:v>q (mg/g) = C0(mg/L) × [1 − C(t)/C0] / SD(g/L)</x:v>
      </x:c>
      <x:c r="C22" s="29"/>
      <x:c r="D22" s="29"/>
    </x:row>
    <x:row r="23" ht="15" hidden="0" customHeight="1">
      <x:c r="A23" s="29" t="str">
        <x:v>Isotherm mass balance</x:v>
      </x:c>
      <x:c r="B23" s="29" t="str">
        <x:v>C0(mmol/L) = Ce(mmol/L) + qe(mmol/g) × SD(g/L)</x:v>
      </x:c>
      <x:c r="C23" s="29"/>
      <x:c r="D23" s="29"/>
    </x:row>
    <x:row r="24" ht="15" hidden="0" customHeight="1">
      <x:c r="A24" s="29"/>
      <x:c r="B24" s="29"/>
      <x:c r="C24" s="29"/>
      <x:c r="D24" s="29"/>
    </x:row>
    <x:row r="25" ht="15" hidden="0" customHeight="1">
      <x:c r="A25" s="71" t="str">
        <x:v>Extraction detail</x:v>
      </x:c>
      <x:c r="B25" s="71" t="str">
        <x:v>Value</x:v>
      </x:c>
      <x:c r="C25" s="71" t="str"/>
      <x:c r="D25" s="71" t="str"/>
    </x:row>
    <x:row r="26" ht="15" hidden="0" customHeight="1">
      <x:c r="A26" s="29" t="str">
        <x:v>PDF file</x:v>
      </x:c>
      <x:c r="B26" s="29" t="str">
        <x:v>Dr . imran Ai supplementary data .pdf.pdf</x:v>
      </x:c>
      <x:c r="C26" s="29" t="str"/>
      <x:c r="D26" s="29" t="str"/>
    </x:row>
    <x:row r="27" ht="15" hidden="0" customHeight="1">
      <x:c r="A27" s="29" t="str">
        <x:v>Figure S8a</x:v>
      </x:c>
      <x:c r="B27" s="29" t="str">
        <x:v>48 P2-APEI points retained (Pr/Tm, duplicate single-metal kinetics)</x:v>
      </x:c>
      <x:c r="C27" s="29" t="str"/>
      <x:c r="D27" s="29" t="str"/>
    </x:row>
    <x:row r="28" ht="15" hidden="0" customHeight="1">
      <x:c r="A28" s="29" t="str">
        <x:v>Figure S8b</x:v>
      </x:c>
      <x:c r="B28" s="29" t="str">
        <x:v>24 P2-APEI points retained (Pr/Tm binary kinetics)</x:v>
      </x:c>
      <x:c r="C28" s="29" t="str"/>
      <x:c r="D28" s="29" t="str"/>
    </x:row>
    <x:row r="29" ht="15" hidden="0" customHeight="1">
      <x:c r="A29" s="29" t="str">
        <x:v>Figure S9</x:v>
      </x:c>
      <x:c r="B29" s="29" t="str">
        <x:v>40 P2-APEI points retained (Pr/Tm duplicate isotherms)</x:v>
      </x:c>
      <x:c r="C29" s="29" t="str"/>
      <x:c r="D29" s="29" t="str"/>
    </x:row>
    <x:row r="30" ht="15" hidden="0" customHeight="1">
      <x:c r="A30" s="29" t="str">
        <x:v>Excluded</x:v>
      </x:c>
      <x:c r="B30" s="29" t="str">
        <x:v>4 origin anchors at (0,0) from S9; outside stated C0 range 10–500 mg/L</x:v>
      </x:c>
      <x:c r="C30" s="29" t="str"/>
      <x:c r="D30" s="29" t="str"/>
    </x:row>
  </x:sheetData>
  <x:mergeCells>
    <x:mergeCell ref="A1:D1"/>
    <x:mergeCell ref="F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75" t="str">
        <x:v>Check</x:v>
      </x:c>
      <x:c r="B1" s="75" t="str">
        <x:v>Expected</x:v>
      </x:c>
      <x:c r="C1" s="75" t="str">
        <x:v>Actual</x:v>
      </x:c>
      <x:c r="D1" s="75" t="str">
        <x:v>Status</x:v>
      </x:c>
    </x:row>
    <x:row r="2">
      <x:c r="A2" t="str">
        <x:v>Total model-ready rows</x:v>
      </x:c>
      <x:c r="B2" t="n">
        <x:v>112</x:v>
      </x:c>
      <x:c r="C2" t="n">
        <x:f>COUNTA(Model_Dataset!A2:A113)</x:f>
        <x:v>112</x:v>
      </x:c>
      <x:c r="D2" t="str">
        <x:f>IF(C2=B2,"OK","CHECK")</x:f>
        <x:v>OK</x:v>
      </x:c>
    </x:row>
    <x:row r="3">
      <x:c r="A3" t="str">
        <x:v>S8a rows</x:v>
      </x:c>
      <x:c r="B3" t="n">
        <x:v>48</x:v>
      </x:c>
      <x:c r="C3" t="n">
        <x:f>COUNTIF(Model_Dataset!R2:R113,"S8a")</x:f>
        <x:v>48</x:v>
      </x:c>
      <x:c r="D3" t="str">
        <x:f>IF(C3=B3,"OK","CHECK")</x:f>
        <x:v>OK</x:v>
      </x:c>
    </x:row>
    <x:row r="4">
      <x:c r="A4" t="str">
        <x:v>S8b rows</x:v>
      </x:c>
      <x:c r="B4" t="n">
        <x:v>24</x:v>
      </x:c>
      <x:c r="C4" t="n">
        <x:f>COUNTIF(Model_Dataset!R2:R113,"S8b")</x:f>
        <x:v>24</x:v>
      </x:c>
      <x:c r="D4" t="str">
        <x:f>IF(C4=B4,"OK","CHECK")</x:f>
        <x:v>OK</x:v>
      </x:c>
    </x:row>
    <x:row r="5">
      <x:c r="A5" t="str">
        <x:v>S9 rows</x:v>
      </x:c>
      <x:c r="B5" t="n">
        <x:v>40</x:v>
      </x:c>
      <x:c r="C5" t="n">
        <x:f>COUNTIF(Model_Dataset!R2:R113,"S9")</x:f>
        <x:v>40</x:v>
      </x:c>
      <x:c r="D5" t="str">
        <x:f>IF(C5=B5,"OK","CHECK")</x:f>
        <x:v>OK</x:v>
      </x:c>
    </x:row>
    <x:row r="6">
      <x:c r="A6" t="str">
        <x:v>Minimum required rows</x:v>
      </x:c>
      <x:c r="B6" t="n">
        <x:v>100</x:v>
      </x:c>
      <x:c r="C6" t="n">
        <x:f>C2</x:f>
        <x:v>112</x:v>
      </x:c>
      <x:c r="D6" t="str">
        <x:f>IF(C6&gt;=B6,"OK","CHECK")</x:f>
        <x:v>OK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3" hidden="0" customWidth="1"/>
    <x:col min="5" max="5" width="16" hidden="0" customWidth="1"/>
    <x:col min="6" max="6" width="24" hidden="0" customWidth="1"/>
    <x:col min="7" max="7" width="18" hidden="0" customWidth="1"/>
    <x:col min="8" max="8" width="14" hidden="0" customWidth="1"/>
    <x:col min="10" max="10" width="18" hidden="0" customWidth="1"/>
    <x:col min="11" max="11" width="34" hidden="0" customWidth="1"/>
  </x:cols>
  <x:sheetData>
    <x:row r="1" ht="18" hidden="0" customHeight="1">
      <x:c r="A1" s="81" t="str">
        <x:v>AI MODEL DATASET — CLEAR INPUTS &amp; OUTPUT</x:v>
      </x:c>
      <x:c r="B1" s="81"/>
      <x:c r="C1" s="81"/>
      <x:c r="D1" s="81"/>
      <x:c r="E1" s="81"/>
      <x:c r="F1" s="81"/>
      <x:c r="G1" s="81"/>
      <x:c r="H1" s="81"/>
      <x:c r="J1" s="88" t="str">
        <x:v>FIXED CONDITIONS</x:v>
      </x:c>
      <x:c r="K1" s="88"/>
    </x:row>
    <x:row r="2" ht="15" hidden="0" customHeight="1">
      <x:c r="A2" s="85" t="str">
        <x:v>Green columns = INPUTS (X) | Orange column = OUTPUT/TARGET (Y) | pH and temperature are fixed conditions, so they are NOT useful ML features in this dataset.</x:v>
      </x:c>
      <x:c r="B2" s="85"/>
      <x:c r="C2" s="85"/>
      <x:c r="D2" s="85"/>
      <x:c r="E2" s="85"/>
      <x:c r="F2" s="85"/>
      <x:c r="G2" s="85"/>
      <x:c r="H2" s="85"/>
      <x:c r="J2" s="91" t="str">
        <x:v>Condition</x:v>
      </x:c>
      <x:c r="K2" s="91" t="str">
        <x:v>Value</x:v>
      </x:c>
    </x:row>
    <x:row r="3" ht="15" hidden="0" customHeight="1">
      <x:c r="A3" s="108" t="str">
        <x:v>INPUT FEATURES (X) — use these to train the model</x:v>
      </x:c>
      <x:c r="B3" s="108"/>
      <x:c r="C3" s="108"/>
      <x:c r="D3" s="108"/>
      <x:c r="E3" s="108"/>
      <x:c r="F3" s="108"/>
      <x:c r="G3" s="111" t="str">
        <x:v>OUTPUT (Y)</x:v>
      </x:c>
      <x:c r="H3" s="114" t="str">
        <x:v>TRACE ONLY</x:v>
      </x:c>
      <x:c r="J3" s="29" t="str">
        <x:v>pH0</x:v>
      </x:c>
      <x:c r="K3" s="29" t="str">
        <x:v>5 (same for all S8/S9 model rows)</x:v>
      </x:c>
    </x:row>
    <x:row r="4" ht="15" hidden="0" customHeight="1">
      <x:c r="A4" s="96" t="str">
        <x:v>Metal_INPUT</x:v>
      </x:c>
      <x:c r="B4" s="96" t="str">
        <x:v>System_INPUT</x:v>
      </x:c>
      <x:c r="C4" s="96" t="str">
        <x:v>Experiment_INPUT</x:v>
      </x:c>
      <x:c r="D4" s="96" t="str">
        <x:v>Contact_Time_min_INPUT</x:v>
      </x:c>
      <x:c r="E4" s="96" t="str">
        <x:v>C0_mg_L_INPUT</x:v>
      </x:c>
      <x:c r="F4" s="96" t="str">
        <x:v>Adsorbent_Dose_g_L_INPUT</x:v>
      </x:c>
      <x:c r="G4" s="101" t="str">
        <x:v>qe_mg_g_OUTPUT</x:v>
      </x:c>
      <x:c r="H4" s="105" t="str">
        <x:v>Row_ID_Source</x:v>
      </x:c>
      <x:c r="J4" s="29" t="str">
        <x:v>Temperature</x:v>
      </x:c>
      <x:c r="K4" s="29" t="str">
        <x:v>22 °C (nominal)</x:v>
      </x:c>
    </x:row>
    <x:row r="5" ht="15" hidden="0" customHeight="1">
      <x:c r="A5" s="119" t="str">
        <x:f>Model_Dataset!B2</x:f>
        <x:v>Pr</x:v>
      </x:c>
      <x:c r="B5" s="119" t="str">
        <x:f>Model_Dataset!E2</x:f>
        <x:v>Single</x:v>
      </x:c>
      <x:c r="C5" s="119" t="str">
        <x:f>Model_Dataset!G2</x:f>
        <x:v>Uptake kinetics</x:v>
      </x:c>
      <x:c r="D5" s="120" t="n">
        <x:f>Model_Dataset!I2</x:f>
        <x:v>0</x:v>
      </x:c>
      <x:c r="E5" s="121" t="n">
        <x:f>Model_Dataset!J2</x:f>
        <x:v>50</x:v>
      </x:c>
      <x:c r="F5" s="121" t="n">
        <x:f>Model_Dataset!N2</x:f>
        <x:v>0.25</x:v>
      </x:c>
      <x:c r="G5" s="122" t="n">
        <x:f>Model_Dataset!Q2</x:f>
        <x:v>0</x:v>
      </x:c>
      <x:c r="H5" s="123" t="n">
        <x:f>Model_Dataset!A2</x:f>
        <x:v>1</x:v>
      </x:c>
      <x:c r="J5" s="29" t="str">
        <x:v>Adsorbent</x:v>
      </x:c>
      <x:c r="K5" s="29" t="str">
        <x:v>P2-APEI</x:v>
      </x:c>
    </x:row>
    <x:row r="6" ht="15" hidden="0" customHeight="1">
      <x:c r="A6" s="119" t="str">
        <x:f>Model_Dataset!B3</x:f>
        <x:v>Pr</x:v>
      </x:c>
      <x:c r="B6" s="119" t="str">
        <x:f>Model_Dataset!E3</x:f>
        <x:v>Single</x:v>
      </x:c>
      <x:c r="C6" s="119" t="str">
        <x:f>Model_Dataset!G3</x:f>
        <x:v>Uptake kinetics</x:v>
      </x:c>
      <x:c r="D6" s="120" t="n">
        <x:f>Model_Dataset!I3</x:f>
        <x:v>2</x:v>
      </x:c>
      <x:c r="E6" s="121" t="n">
        <x:f>Model_Dataset!J3</x:f>
        <x:v>50</x:v>
      </x:c>
      <x:c r="F6" s="121" t="n">
        <x:f>Model_Dataset!N3</x:f>
        <x:v>0.25</x:v>
      </x:c>
      <x:c r="G6" s="122" t="n">
        <x:f>Model_Dataset!Q3</x:f>
        <x:v>6.715089</x:v>
      </x:c>
      <x:c r="H6" s="123" t="n">
        <x:f>Model_Dataset!A3</x:f>
        <x:v>2</x:v>
      </x:c>
      <x:c r="J6" s="29" t="str">
        <x:v>Functionalization</x:v>
      </x:c>
      <x:c r="K6" s="29" t="str">
        <x:v>Phosphorylated</x:v>
      </x:c>
    </x:row>
    <x:row r="7" ht="15" hidden="0" customHeight="1">
      <x:c r="A7" s="119" t="str">
        <x:f>Model_Dataset!B4</x:f>
        <x:v>Pr</x:v>
      </x:c>
      <x:c r="B7" s="119" t="str">
        <x:f>Model_Dataset!E4</x:f>
        <x:v>Single</x:v>
      </x:c>
      <x:c r="C7" s="119" t="str">
        <x:f>Model_Dataset!G4</x:f>
        <x:v>Uptake kinetics</x:v>
      </x:c>
      <x:c r="D7" s="120" t="n">
        <x:f>Model_Dataset!I4</x:f>
        <x:v>5</x:v>
      </x:c>
      <x:c r="E7" s="121" t="n">
        <x:f>Model_Dataset!J4</x:f>
        <x:v>50</x:v>
      </x:c>
      <x:c r="F7" s="121" t="n">
        <x:f>Model_Dataset!N4</x:f>
        <x:v>0.25</x:v>
      </x:c>
      <x:c r="G7" s="122" t="n">
        <x:f>Model_Dataset!Q4</x:f>
        <x:v>18.411841</x:v>
      </x:c>
      <x:c r="H7" s="123" t="n">
        <x:f>Model_Dataset!A4</x:f>
        <x:v>3</x:v>
      </x:c>
    </x:row>
    <x:row r="8" ht="15" hidden="0" customHeight="1">
      <x:c r="A8" s="119" t="str">
        <x:f>Model_Dataset!B5</x:f>
        <x:v>Pr</x:v>
      </x:c>
      <x:c r="B8" s="119" t="str">
        <x:f>Model_Dataset!E5</x:f>
        <x:v>Single</x:v>
      </x:c>
      <x:c r="C8" s="119" t="str">
        <x:f>Model_Dataset!G5</x:f>
        <x:v>Uptake kinetics</x:v>
      </x:c>
      <x:c r="D8" s="120" t="n">
        <x:f>Model_Dataset!I5</x:f>
        <x:v>10</x:v>
      </x:c>
      <x:c r="E8" s="121" t="n">
        <x:f>Model_Dataset!J5</x:f>
        <x:v>50</x:v>
      </x:c>
      <x:c r="F8" s="121" t="n">
        <x:f>Model_Dataset!N5</x:f>
        <x:v>0.25</x:v>
      </x:c>
      <x:c r="G8" s="122" t="n">
        <x:f>Model_Dataset!Q5</x:f>
        <x:v>36.606786</x:v>
      </x:c>
      <x:c r="H8" s="123" t="n">
        <x:f>Model_Dataset!A5</x:f>
        <x:v>4</x:v>
      </x:c>
      <x:c r="J8" s="118" t="str">
        <x:v>WHY pH IS THE SAME:
The source figures used for the 112-row adsorption-capacity dataset (S8a, S8b, S9) were all performed at pH0 = 5. Therefore pH does not vary and cannot help a machine-learning model learn a pH effect.
Also excluded from ML inputs: C(t)/C0 and Ce/Ct, because qe is calculated from these values; using them as inputs would cause target leakage.</x:v>
      </x:c>
      <x:c r="K8" s="118"/>
    </x:row>
    <x:row r="9" ht="15" hidden="0" customHeight="1">
      <x:c r="A9" s="119" t="str">
        <x:f>Model_Dataset!B6</x:f>
        <x:v>Pr</x:v>
      </x:c>
      <x:c r="B9" s="119" t="str">
        <x:f>Model_Dataset!E6</x:f>
        <x:v>Single</x:v>
      </x:c>
      <x:c r="C9" s="119" t="str">
        <x:f>Model_Dataset!G6</x:f>
        <x:v>Uptake kinetics</x:v>
      </x:c>
      <x:c r="D9" s="120" t="n">
        <x:f>Model_Dataset!I6</x:f>
        <x:v>15</x:v>
      </x:c>
      <x:c r="E9" s="121" t="n">
        <x:f>Model_Dataset!J6</x:f>
        <x:v>50</x:v>
      </x:c>
      <x:c r="F9" s="121" t="n">
        <x:f>Model_Dataset!N6</x:f>
        <x:v>0.25</x:v>
      </x:c>
      <x:c r="G9" s="122" t="n">
        <x:f>Model_Dataset!Q6</x:f>
        <x:v>44.187723</x:v>
      </x:c>
      <x:c r="H9" s="123" t="n">
        <x:f>Model_Dataset!A6</x:f>
        <x:v>5</x:v>
      </x:c>
      <x:c r="J9" s="118"/>
      <x:c r="K9" s="118"/>
    </x:row>
    <x:row r="10" ht="15" hidden="0" customHeight="1">
      <x:c r="A10" s="119" t="str">
        <x:f>Model_Dataset!B7</x:f>
        <x:v>Pr</x:v>
      </x:c>
      <x:c r="B10" s="119" t="str">
        <x:f>Model_Dataset!E7</x:f>
        <x:v>Single</x:v>
      </x:c>
      <x:c r="C10" s="119" t="str">
        <x:f>Model_Dataset!G7</x:f>
        <x:v>Uptake kinetics</x:v>
      </x:c>
      <x:c r="D10" s="120" t="n">
        <x:f>Model_Dataset!I7</x:f>
        <x:v>20</x:v>
      </x:c>
      <x:c r="E10" s="121" t="n">
        <x:f>Model_Dataset!J7</x:f>
        <x:v>50</x:v>
      </x:c>
      <x:c r="F10" s="121" t="n">
        <x:f>Model_Dataset!N7</x:f>
        <x:v>0.25</x:v>
      </x:c>
      <x:c r="G10" s="122" t="n">
        <x:f>Model_Dataset!Q7</x:f>
        <x:v>46.787002</x:v>
      </x:c>
      <x:c r="H10" s="123" t="n">
        <x:f>Model_Dataset!A7</x:f>
        <x:v>6</x:v>
      </x:c>
      <x:c r="J10" s="118"/>
      <x:c r="K10" s="118"/>
    </x:row>
    <x:row r="11" ht="15" hidden="0" customHeight="1">
      <x:c r="A11" s="119" t="str">
        <x:f>Model_Dataset!B8</x:f>
        <x:v>Pr</x:v>
      </x:c>
      <x:c r="B11" s="119" t="str">
        <x:f>Model_Dataset!E8</x:f>
        <x:v>Single</x:v>
      </x:c>
      <x:c r="C11" s="119" t="str">
        <x:f>Model_Dataset!G8</x:f>
        <x:v>Uptake kinetics</x:v>
      </x:c>
      <x:c r="D11" s="120" t="n">
        <x:f>Model_Dataset!I8</x:f>
        <x:v>25</x:v>
      </x:c>
      <x:c r="E11" s="121" t="n">
        <x:f>Model_Dataset!J8</x:f>
        <x:v>50</x:v>
      </x:c>
      <x:c r="F11" s="121" t="n">
        <x:f>Model_Dataset!N8</x:f>
        <x:v>0.25</x:v>
      </x:c>
      <x:c r="G11" s="122" t="n">
        <x:f>Model_Dataset!Q8</x:f>
        <x:v>46.787002</x:v>
      </x:c>
      <x:c r="H11" s="123" t="n">
        <x:f>Model_Dataset!A8</x:f>
        <x:v>7</x:v>
      </x:c>
      <x:c r="J11" s="118"/>
      <x:c r="K11" s="118"/>
    </x:row>
    <x:row r="12" ht="15" hidden="0" customHeight="1">
      <x:c r="A12" s="119" t="str">
        <x:f>Model_Dataset!B9</x:f>
        <x:v>Pr</x:v>
      </x:c>
      <x:c r="B12" s="119" t="str">
        <x:f>Model_Dataset!E9</x:f>
        <x:v>Single</x:v>
      </x:c>
      <x:c r="C12" s="119" t="str">
        <x:f>Model_Dataset!G9</x:f>
        <x:v>Uptake kinetics</x:v>
      </x:c>
      <x:c r="D12" s="120" t="n">
        <x:f>Model_Dataset!I9</x:f>
        <x:v>30</x:v>
      </x:c>
      <x:c r="E12" s="121" t="n">
        <x:f>Model_Dataset!J9</x:f>
        <x:v>50</x:v>
      </x:c>
      <x:c r="F12" s="121" t="n">
        <x:f>Model_Dataset!N9</x:f>
        <x:v>0.25</x:v>
      </x:c>
      <x:c r="G12" s="122" t="n">
        <x:f>Model_Dataset!Q9</x:f>
        <x:v>46.787004</x:v>
      </x:c>
      <x:c r="H12" s="123" t="n">
        <x:f>Model_Dataset!A9</x:f>
        <x:v>8</x:v>
      </x:c>
      <x:c r="J12" s="118"/>
      <x:c r="K12" s="118"/>
    </x:row>
    <x:row r="13" ht="15" hidden="0" customHeight="1">
      <x:c r="A13" s="119" t="str">
        <x:f>Model_Dataset!B10</x:f>
        <x:v>Pr</x:v>
      </x:c>
      <x:c r="B13" s="119" t="str">
        <x:f>Model_Dataset!E10</x:f>
        <x:v>Single</x:v>
      </x:c>
      <x:c r="C13" s="119" t="str">
        <x:f>Model_Dataset!G10</x:f>
        <x:v>Uptake kinetics</x:v>
      </x:c>
      <x:c r="D13" s="120" t="n">
        <x:f>Model_Dataset!I10</x:f>
        <x:v>35</x:v>
      </x:c>
      <x:c r="E13" s="121" t="n">
        <x:f>Model_Dataset!J10</x:f>
        <x:v>50</x:v>
      </x:c>
      <x:c r="F13" s="121" t="n">
        <x:f>Model_Dataset!N10</x:f>
        <x:v>0.25</x:v>
      </x:c>
      <x:c r="G13" s="122" t="n">
        <x:f>Model_Dataset!Q10</x:f>
        <x:v>46.787004</x:v>
      </x:c>
      <x:c r="H13" s="123" t="n">
        <x:f>Model_Dataset!A10</x:f>
        <x:v>9</x:v>
      </x:c>
      <x:c r="J13" s="118"/>
      <x:c r="K13" s="118"/>
    </x:row>
    <x:row r="14" ht="15" hidden="0" customHeight="1">
      <x:c r="A14" s="119" t="str">
        <x:f>Model_Dataset!B11</x:f>
        <x:v>Pr</x:v>
      </x:c>
      <x:c r="B14" s="119" t="str">
        <x:f>Model_Dataset!E11</x:f>
        <x:v>Single</x:v>
      </x:c>
      <x:c r="C14" s="119" t="str">
        <x:f>Model_Dataset!G11</x:f>
        <x:v>Uptake kinetics</x:v>
      </x:c>
      <x:c r="D14" s="120" t="n">
        <x:f>Model_Dataset!I11</x:f>
        <x:v>40</x:v>
      </x:c>
      <x:c r="E14" s="121" t="n">
        <x:f>Model_Dataset!J11</x:f>
        <x:v>50</x:v>
      </x:c>
      <x:c r="F14" s="121" t="n">
        <x:f>Model_Dataset!N11</x:f>
        <x:v>0.25</x:v>
      </x:c>
      <x:c r="G14" s="122" t="n">
        <x:f>Model_Dataset!Q11</x:f>
        <x:v>46.787009</x:v>
      </x:c>
      <x:c r="H14" s="123" t="n">
        <x:f>Model_Dataset!A11</x:f>
        <x:v>10</x:v>
      </x:c>
      <x:c r="J14" s="118"/>
      <x:c r="K14" s="118"/>
    </x:row>
    <x:row r="15" ht="15" hidden="0" customHeight="1">
      <x:c r="A15" s="119" t="str">
        <x:f>Model_Dataset!B12</x:f>
        <x:v>Pr</x:v>
      </x:c>
      <x:c r="B15" s="119" t="str">
        <x:f>Model_Dataset!E12</x:f>
        <x:v>Single</x:v>
      </x:c>
      <x:c r="C15" s="119" t="str">
        <x:f>Model_Dataset!G12</x:f>
        <x:v>Uptake kinetics</x:v>
      </x:c>
      <x:c r="D15" s="120" t="n">
        <x:f>Model_Dataset!I12</x:f>
        <x:v>50</x:v>
      </x:c>
      <x:c r="E15" s="121" t="n">
        <x:f>Model_Dataset!J12</x:f>
        <x:v>50</x:v>
      </x:c>
      <x:c r="F15" s="121" t="n">
        <x:f>Model_Dataset!N12</x:f>
        <x:v>0.25</x:v>
      </x:c>
      <x:c r="G15" s="122" t="n">
        <x:f>Model_Dataset!Q12</x:f>
        <x:v>46.787011</x:v>
      </x:c>
      <x:c r="H15" s="123" t="n">
        <x:f>Model_Dataset!A12</x:f>
        <x:v>11</x:v>
      </x:c>
    </x:row>
    <x:row r="16" ht="15" hidden="0" customHeight="1">
      <x:c r="A16" s="119" t="str">
        <x:f>Model_Dataset!B13</x:f>
        <x:v>Pr</x:v>
      </x:c>
      <x:c r="B16" s="119" t="str">
        <x:f>Model_Dataset!E13</x:f>
        <x:v>Single</x:v>
      </x:c>
      <x:c r="C16" s="119" t="str">
        <x:f>Model_Dataset!G13</x:f>
        <x:v>Uptake kinetics</x:v>
      </x:c>
      <x:c r="D16" s="120" t="n">
        <x:f>Model_Dataset!I13</x:f>
        <x:v>60</x:v>
      </x:c>
      <x:c r="E16" s="121" t="n">
        <x:f>Model_Dataset!J13</x:f>
        <x:v>50</x:v>
      </x:c>
      <x:c r="F16" s="121" t="n">
        <x:f>Model_Dataset!N13</x:f>
        <x:v>0.25</x:v>
      </x:c>
      <x:c r="G16" s="122" t="n">
        <x:f>Model_Dataset!Q13</x:f>
        <x:v>46.787011</x:v>
      </x:c>
      <x:c r="H16" s="123" t="n">
        <x:f>Model_Dataset!A13</x:f>
        <x:v>12</x:v>
      </x:c>
    </x:row>
    <x:row r="17" ht="15" hidden="0" customHeight="1">
      <x:c r="A17" s="119" t="str">
        <x:f>Model_Dataset!B14</x:f>
        <x:v>Pr</x:v>
      </x:c>
      <x:c r="B17" s="119" t="str">
        <x:f>Model_Dataset!E14</x:f>
        <x:v>Single</x:v>
      </x:c>
      <x:c r="C17" s="119" t="str">
        <x:f>Model_Dataset!G14</x:f>
        <x:v>Uptake kinetics</x:v>
      </x:c>
      <x:c r="D17" s="120" t="n">
        <x:f>Model_Dataset!I14</x:f>
        <x:v>0</x:v>
      </x:c>
      <x:c r="E17" s="121" t="n">
        <x:f>Model_Dataset!J14</x:f>
        <x:v>50</x:v>
      </x:c>
      <x:c r="F17" s="121" t="n">
        <x:f>Model_Dataset!N14</x:f>
        <x:v>0.25</x:v>
      </x:c>
      <x:c r="G17" s="122" t="n">
        <x:f>Model_Dataset!Q14</x:f>
        <x:v>0</x:v>
      </x:c>
      <x:c r="H17" s="123" t="n">
        <x:f>Model_Dataset!A14</x:f>
        <x:v>13</x:v>
      </x:c>
    </x:row>
    <x:row r="18" ht="15" hidden="0" customHeight="1">
      <x:c r="A18" s="119" t="str">
        <x:f>Model_Dataset!B15</x:f>
        <x:v>Pr</x:v>
      </x:c>
      <x:c r="B18" s="119" t="str">
        <x:f>Model_Dataset!E15</x:f>
        <x:v>Single</x:v>
      </x:c>
      <x:c r="C18" s="119" t="str">
        <x:f>Model_Dataset!G15</x:f>
        <x:v>Uptake kinetics</x:v>
      </x:c>
      <x:c r="D18" s="120" t="n">
        <x:f>Model_Dataset!I15</x:f>
        <x:v>2</x:v>
      </x:c>
      <x:c r="E18" s="121" t="n">
        <x:f>Model_Dataset!J15</x:f>
        <x:v>50</x:v>
      </x:c>
      <x:c r="F18" s="121" t="n">
        <x:f>Model_Dataset!N15</x:f>
        <x:v>0.25</x:v>
      </x:c>
      <x:c r="G18" s="122" t="n">
        <x:f>Model_Dataset!Q15</x:f>
        <x:v>6.281875</x:v>
      </x:c>
      <x:c r="H18" s="123" t="n">
        <x:f>Model_Dataset!A15</x:f>
        <x:v>14</x:v>
      </x:c>
    </x:row>
    <x:row r="19" ht="15" hidden="0" customHeight="1">
      <x:c r="A19" s="119" t="str">
        <x:f>Model_Dataset!B16</x:f>
        <x:v>Pr</x:v>
      </x:c>
      <x:c r="B19" s="119" t="str">
        <x:f>Model_Dataset!E16</x:f>
        <x:v>Single</x:v>
      </x:c>
      <x:c r="C19" s="119" t="str">
        <x:f>Model_Dataset!G16</x:f>
        <x:v>Uptake kinetics</x:v>
      </x:c>
      <x:c r="D19" s="120" t="n">
        <x:f>Model_Dataset!I16</x:f>
        <x:v>5</x:v>
      </x:c>
      <x:c r="E19" s="121" t="n">
        <x:f>Model_Dataset!J16</x:f>
        <x:v>50</x:v>
      </x:c>
      <x:c r="F19" s="121" t="n">
        <x:f>Model_Dataset!N16</x:f>
        <x:v>0.25</x:v>
      </x:c>
      <x:c r="G19" s="122" t="n">
        <x:f>Model_Dataset!Q16</x:f>
        <x:v>20.3613</x:v>
      </x:c>
      <x:c r="H19" s="123" t="n">
        <x:f>Model_Dataset!A16</x:f>
        <x:v>15</x:v>
      </x:c>
    </x:row>
    <x:row r="20" ht="15" hidden="0" customHeight="1">
      <x:c r="A20" s="119" t="str">
        <x:f>Model_Dataset!B17</x:f>
        <x:v>Pr</x:v>
      </x:c>
      <x:c r="B20" s="119" t="str">
        <x:f>Model_Dataset!E17</x:f>
        <x:v>Single</x:v>
      </x:c>
      <x:c r="C20" s="119" t="str">
        <x:f>Model_Dataset!G17</x:f>
        <x:v>Uptake kinetics</x:v>
      </x:c>
      <x:c r="D20" s="120" t="n">
        <x:f>Model_Dataset!I17</x:f>
        <x:v>10</x:v>
      </x:c>
      <x:c r="E20" s="121" t="n">
        <x:f>Model_Dataset!J17</x:f>
        <x:v>50</x:v>
      </x:c>
      <x:c r="F20" s="121" t="n">
        <x:f>Model_Dataset!N17</x:f>
        <x:v>0.25</x:v>
      </x:c>
      <x:c r="G20" s="122" t="n">
        <x:f>Model_Dataset!Q17</x:f>
        <x:v>43.104837</x:v>
      </x:c>
      <x:c r="H20" s="123" t="n">
        <x:f>Model_Dataset!A17</x:f>
        <x:v>16</x:v>
      </x:c>
    </x:row>
    <x:row r="21" ht="15" hidden="0" customHeight="1">
      <x:c r="A21" s="119" t="str">
        <x:f>Model_Dataset!B18</x:f>
        <x:v>Pr</x:v>
      </x:c>
      <x:c r="B21" s="119" t="str">
        <x:f>Model_Dataset!E18</x:f>
        <x:v>Single</x:v>
      </x:c>
      <x:c r="C21" s="119" t="str">
        <x:f>Model_Dataset!G18</x:f>
        <x:v>Uptake kinetics</x:v>
      </x:c>
      <x:c r="D21" s="120" t="n">
        <x:f>Model_Dataset!I18</x:f>
        <x:v>15</x:v>
      </x:c>
      <x:c r="E21" s="121" t="n">
        <x:f>Model_Dataset!J18</x:f>
        <x:v>50</x:v>
      </x:c>
      <x:c r="F21" s="121" t="n">
        <x:f>Model_Dataset!N18</x:f>
        <x:v>0.25</x:v>
      </x:c>
      <x:c r="G21" s="122" t="n">
        <x:f>Model_Dataset!Q18</x:f>
        <x:v>48.953064</x:v>
      </x:c>
      <x:c r="H21" s="123" t="n">
        <x:f>Model_Dataset!A18</x:f>
        <x:v>17</x:v>
      </x:c>
    </x:row>
    <x:row r="22" ht="15" hidden="0" customHeight="1">
      <x:c r="A22" s="119" t="str">
        <x:f>Model_Dataset!B19</x:f>
        <x:v>Pr</x:v>
      </x:c>
      <x:c r="B22" s="119" t="str">
        <x:f>Model_Dataset!E19</x:f>
        <x:v>Single</x:v>
      </x:c>
      <x:c r="C22" s="119" t="str">
        <x:f>Model_Dataset!G19</x:f>
        <x:v>Uptake kinetics</x:v>
      </x:c>
      <x:c r="D22" s="120" t="n">
        <x:f>Model_Dataset!I19</x:f>
        <x:v>20</x:v>
      </x:c>
      <x:c r="E22" s="121" t="n">
        <x:f>Model_Dataset!J19</x:f>
        <x:v>50</x:v>
      </x:c>
      <x:c r="F22" s="121" t="n">
        <x:f>Model_Dataset!N19</x:f>
        <x:v>0.25</x:v>
      </x:c>
      <x:c r="G22" s="122" t="n">
        <x:f>Model_Dataset!Q19</x:f>
        <x:v>49.169672</x:v>
      </x:c>
      <x:c r="H22" s="123" t="n">
        <x:f>Model_Dataset!A19</x:f>
        <x:v>18</x:v>
      </x:c>
    </x:row>
    <x:row r="23" ht="15" hidden="0" customHeight="1">
      <x:c r="A23" s="119" t="str">
        <x:f>Model_Dataset!B20</x:f>
        <x:v>Pr</x:v>
      </x:c>
      <x:c r="B23" s="119" t="str">
        <x:f>Model_Dataset!E20</x:f>
        <x:v>Single</x:v>
      </x:c>
      <x:c r="C23" s="119" t="str">
        <x:f>Model_Dataset!G20</x:f>
        <x:v>Uptake kinetics</x:v>
      </x:c>
      <x:c r="D23" s="120" t="n">
        <x:f>Model_Dataset!I20</x:f>
        <x:v>25</x:v>
      </x:c>
      <x:c r="E23" s="121" t="n">
        <x:f>Model_Dataset!J20</x:f>
        <x:v>50</x:v>
      </x:c>
      <x:c r="F23" s="121" t="n">
        <x:f>Model_Dataset!N20</x:f>
        <x:v>0.25</x:v>
      </x:c>
      <x:c r="G23" s="122" t="n">
        <x:f>Model_Dataset!Q20</x:f>
        <x:v>49.169672</x:v>
      </x:c>
      <x:c r="H23" s="123" t="n">
        <x:f>Model_Dataset!A20</x:f>
        <x:v>19</x:v>
      </x:c>
    </x:row>
    <x:row r="24" ht="15" hidden="0" customHeight="1">
      <x:c r="A24" s="119" t="str">
        <x:f>Model_Dataset!B21</x:f>
        <x:v>Pr</x:v>
      </x:c>
      <x:c r="B24" s="119" t="str">
        <x:f>Model_Dataset!E21</x:f>
        <x:v>Single</x:v>
      </x:c>
      <x:c r="C24" s="119" t="str">
        <x:f>Model_Dataset!G21</x:f>
        <x:v>Uptake kinetics</x:v>
      </x:c>
      <x:c r="D24" s="120" t="n">
        <x:f>Model_Dataset!I21</x:f>
        <x:v>30</x:v>
      </x:c>
      <x:c r="E24" s="121" t="n">
        <x:f>Model_Dataset!J21</x:f>
        <x:v>50</x:v>
      </x:c>
      <x:c r="F24" s="121" t="n">
        <x:f>Model_Dataset!N21</x:f>
        <x:v>0.25</x:v>
      </x:c>
      <x:c r="G24" s="122" t="n">
        <x:f>Model_Dataset!Q21</x:f>
        <x:v>49.386283</x:v>
      </x:c>
      <x:c r="H24" s="123" t="n">
        <x:f>Model_Dataset!A21</x:f>
        <x:v>20</x:v>
      </x:c>
    </x:row>
    <x:row r="25" ht="15" hidden="0" customHeight="1">
      <x:c r="A25" s="119" t="str">
        <x:f>Model_Dataset!B22</x:f>
        <x:v>Pr</x:v>
      </x:c>
      <x:c r="B25" s="119" t="str">
        <x:f>Model_Dataset!E22</x:f>
        <x:v>Single</x:v>
      </x:c>
      <x:c r="C25" s="119" t="str">
        <x:f>Model_Dataset!G22</x:f>
        <x:v>Uptake kinetics</x:v>
      </x:c>
      <x:c r="D25" s="120" t="n">
        <x:f>Model_Dataset!I22</x:f>
        <x:v>35</x:v>
      </x:c>
      <x:c r="E25" s="121" t="n">
        <x:f>Model_Dataset!J22</x:f>
        <x:v>50</x:v>
      </x:c>
      <x:c r="F25" s="121" t="n">
        <x:f>Model_Dataset!N22</x:f>
        <x:v>0.25</x:v>
      </x:c>
      <x:c r="G25" s="122" t="n">
        <x:f>Model_Dataset!Q22</x:f>
        <x:v>49.386283</x:v>
      </x:c>
      <x:c r="H25" s="123" t="n">
        <x:f>Model_Dataset!A22</x:f>
        <x:v>21</x:v>
      </x:c>
    </x:row>
    <x:row r="26" ht="15" hidden="0" customHeight="1">
      <x:c r="A26" s="119" t="str">
        <x:f>Model_Dataset!B23</x:f>
        <x:v>Pr</x:v>
      </x:c>
      <x:c r="B26" s="119" t="str">
        <x:f>Model_Dataset!E23</x:f>
        <x:v>Single</x:v>
      </x:c>
      <x:c r="C26" s="119" t="str">
        <x:f>Model_Dataset!G23</x:f>
        <x:v>Uptake kinetics</x:v>
      </x:c>
      <x:c r="D26" s="120" t="n">
        <x:f>Model_Dataset!I23</x:f>
        <x:v>40</x:v>
      </x:c>
      <x:c r="E26" s="121" t="n">
        <x:f>Model_Dataset!J23</x:f>
        <x:v>50</x:v>
      </x:c>
      <x:c r="F26" s="121" t="n">
        <x:f>Model_Dataset!N23</x:f>
        <x:v>0.25</x:v>
      </x:c>
      <x:c r="G26" s="122" t="n">
        <x:f>Model_Dataset!Q23</x:f>
        <x:v>49.386285</x:v>
      </x:c>
      <x:c r="H26" s="123" t="n">
        <x:f>Model_Dataset!A23</x:f>
        <x:v>22</x:v>
      </x:c>
    </x:row>
    <x:row r="27" ht="15" hidden="0" customHeight="1">
      <x:c r="A27" s="119" t="str">
        <x:f>Model_Dataset!B24</x:f>
        <x:v>Pr</x:v>
      </x:c>
      <x:c r="B27" s="119" t="str">
        <x:f>Model_Dataset!E24</x:f>
        <x:v>Single</x:v>
      </x:c>
      <x:c r="C27" s="119" t="str">
        <x:f>Model_Dataset!G24</x:f>
        <x:v>Uptake kinetics</x:v>
      </x:c>
      <x:c r="D27" s="120" t="n">
        <x:f>Model_Dataset!I24</x:f>
        <x:v>50</x:v>
      </x:c>
      <x:c r="E27" s="121" t="n">
        <x:f>Model_Dataset!J24</x:f>
        <x:v>50</x:v>
      </x:c>
      <x:c r="F27" s="121" t="n">
        <x:f>Model_Dataset!N24</x:f>
        <x:v>0.25</x:v>
      </x:c>
      <x:c r="G27" s="122" t="n">
        <x:f>Model_Dataset!Q24</x:f>
        <x:v>49.386288</x:v>
      </x:c>
      <x:c r="H27" s="123" t="n">
        <x:f>Model_Dataset!A24</x:f>
        <x:v>23</x:v>
      </x:c>
    </x:row>
    <x:row r="28" ht="15" hidden="0" customHeight="1">
      <x:c r="A28" s="119" t="str">
        <x:f>Model_Dataset!B25</x:f>
        <x:v>Pr</x:v>
      </x:c>
      <x:c r="B28" s="119" t="str">
        <x:f>Model_Dataset!E25</x:f>
        <x:v>Single</x:v>
      </x:c>
      <x:c r="C28" s="119" t="str">
        <x:f>Model_Dataset!G25</x:f>
        <x:v>Uptake kinetics</x:v>
      </x:c>
      <x:c r="D28" s="120" t="n">
        <x:f>Model_Dataset!I25</x:f>
        <x:v>60</x:v>
      </x:c>
      <x:c r="E28" s="121" t="n">
        <x:f>Model_Dataset!J25</x:f>
        <x:v>50</x:v>
      </x:c>
      <x:c r="F28" s="121" t="n">
        <x:f>Model_Dataset!N25</x:f>
        <x:v>0.25</x:v>
      </x:c>
      <x:c r="G28" s="122" t="n">
        <x:f>Model_Dataset!Q25</x:f>
        <x:v>49.38629</x:v>
      </x:c>
      <x:c r="H28" s="123" t="n">
        <x:f>Model_Dataset!A25</x:f>
        <x:v>24</x:v>
      </x:c>
    </x:row>
    <x:row r="29" ht="15" hidden="0" customHeight="1">
      <x:c r="A29" s="119" t="str">
        <x:f>Model_Dataset!B26</x:f>
        <x:v>Tm</x:v>
      </x:c>
      <x:c r="B29" s="119" t="str">
        <x:f>Model_Dataset!E26</x:f>
        <x:v>Single</x:v>
      </x:c>
      <x:c r="C29" s="119" t="str">
        <x:f>Model_Dataset!G26</x:f>
        <x:v>Uptake kinetics</x:v>
      </x:c>
      <x:c r="D29" s="120" t="n">
        <x:f>Model_Dataset!I26</x:f>
        <x:v>0</x:v>
      </x:c>
      <x:c r="E29" s="121" t="n">
        <x:f>Model_Dataset!J26</x:f>
        <x:v>50</x:v>
      </x:c>
      <x:c r="F29" s="121" t="n">
        <x:f>Model_Dataset!N26</x:f>
        <x:v>0.25</x:v>
      </x:c>
      <x:c r="G29" s="122" t="n">
        <x:f>Model_Dataset!Q26</x:f>
        <x:v>0</x:v>
      </x:c>
      <x:c r="H29" s="123" t="n">
        <x:f>Model_Dataset!A26</x:f>
        <x:v>25</x:v>
      </x:c>
    </x:row>
    <x:row r="30" ht="15" hidden="0" customHeight="1">
      <x:c r="A30" s="119" t="str">
        <x:f>Model_Dataset!B27</x:f>
        <x:v>Tm</x:v>
      </x:c>
      <x:c r="B30" s="119" t="str">
        <x:f>Model_Dataset!E27</x:f>
        <x:v>Single</x:v>
      </x:c>
      <x:c r="C30" s="119" t="str">
        <x:f>Model_Dataset!G27</x:f>
        <x:v>Uptake kinetics</x:v>
      </x:c>
      <x:c r="D30" s="120" t="n">
        <x:f>Model_Dataset!I27</x:f>
        <x:v>2</x:v>
      </x:c>
      <x:c r="E30" s="121" t="n">
        <x:f>Model_Dataset!J27</x:f>
        <x:v>50</x:v>
      </x:c>
      <x:c r="F30" s="121" t="n">
        <x:f>Model_Dataset!N27</x:f>
        <x:v>0.25</x:v>
      </x:c>
      <x:c r="G30" s="122" t="n">
        <x:f>Model_Dataset!Q27</x:f>
        <x:v>7.906425</x:v>
      </x:c>
      <x:c r="H30" s="123" t="n">
        <x:f>Model_Dataset!A27</x:f>
        <x:v>26</x:v>
      </x:c>
    </x:row>
    <x:row r="31" ht="15" hidden="0" customHeight="1">
      <x:c r="A31" s="119" t="str">
        <x:f>Model_Dataset!B28</x:f>
        <x:v>Tm</x:v>
      </x:c>
      <x:c r="B31" s="119" t="str">
        <x:f>Model_Dataset!E28</x:f>
        <x:v>Single</x:v>
      </x:c>
      <x:c r="C31" s="119" t="str">
        <x:f>Model_Dataset!G28</x:f>
        <x:v>Uptake kinetics</x:v>
      </x:c>
      <x:c r="D31" s="120" t="n">
        <x:f>Model_Dataset!I28</x:f>
        <x:v>5</x:v>
      </x:c>
      <x:c r="E31" s="121" t="n">
        <x:f>Model_Dataset!J28</x:f>
        <x:v>50</x:v>
      </x:c>
      <x:c r="F31" s="121" t="n">
        <x:f>Model_Dataset!N28</x:f>
        <x:v>0.25</x:v>
      </x:c>
      <x:c r="G31" s="122" t="n">
        <x:f>Model_Dataset!Q28</x:f>
        <x:v>21.119421</x:v>
      </x:c>
      <x:c r="H31" s="123" t="n">
        <x:f>Model_Dataset!A28</x:f>
        <x:v>27</x:v>
      </x:c>
    </x:row>
    <x:row r="32" ht="15" hidden="0" customHeight="1">
      <x:c r="A32" s="119" t="str">
        <x:f>Model_Dataset!B29</x:f>
        <x:v>Tm</x:v>
      </x:c>
      <x:c r="B32" s="119" t="str">
        <x:f>Model_Dataset!E29</x:f>
        <x:v>Single</x:v>
      </x:c>
      <x:c r="C32" s="119" t="str">
        <x:f>Model_Dataset!G29</x:f>
        <x:v>Uptake kinetics</x:v>
      </x:c>
      <x:c r="D32" s="120" t="n">
        <x:f>Model_Dataset!I29</x:f>
        <x:v>10</x:v>
      </x:c>
      <x:c r="E32" s="121" t="n">
        <x:f>Model_Dataset!J29</x:f>
        <x:v>50</x:v>
      </x:c>
      <x:c r="F32" s="121" t="n">
        <x:f>Model_Dataset!N29</x:f>
        <x:v>0.25</x:v>
      </x:c>
      <x:c r="G32" s="122" t="n">
        <x:f>Model_Dataset!Q29</x:f>
        <x:v>30.866714</x:v>
      </x:c>
      <x:c r="H32" s="123" t="n">
        <x:f>Model_Dataset!A29</x:f>
        <x:v>28</x:v>
      </x:c>
    </x:row>
    <x:row r="33" ht="15" hidden="0" customHeight="1">
      <x:c r="A33" s="119" t="str">
        <x:f>Model_Dataset!B30</x:f>
        <x:v>Tm</x:v>
      </x:c>
      <x:c r="B33" s="119" t="str">
        <x:f>Model_Dataset!E30</x:f>
        <x:v>Single</x:v>
      </x:c>
      <x:c r="C33" s="119" t="str">
        <x:f>Model_Dataset!G30</x:f>
        <x:v>Uptake kinetics</x:v>
      </x:c>
      <x:c r="D33" s="120" t="n">
        <x:f>Model_Dataset!I30</x:f>
        <x:v>15</x:v>
      </x:c>
      <x:c r="E33" s="121" t="n">
        <x:f>Model_Dataset!J30</x:f>
        <x:v>50</x:v>
      </x:c>
      <x:c r="F33" s="121" t="n">
        <x:f>Model_Dataset!N30</x:f>
        <x:v>0.25</x:v>
      </x:c>
      <x:c r="G33" s="122" t="n">
        <x:f>Model_Dataset!Q30</x:f>
        <x:v>41.263825</x:v>
      </x:c>
      <x:c r="H33" s="123" t="n">
        <x:f>Model_Dataset!A30</x:f>
        <x:v>29</x:v>
      </x:c>
    </x:row>
    <x:row r="34" ht="15" hidden="0" customHeight="1">
      <x:c r="A34" s="119" t="str">
        <x:f>Model_Dataset!B31</x:f>
        <x:v>Tm</x:v>
      </x:c>
      <x:c r="B34" s="119" t="str">
        <x:f>Model_Dataset!E31</x:f>
        <x:v>Single</x:v>
      </x:c>
      <x:c r="C34" s="119" t="str">
        <x:f>Model_Dataset!G31</x:f>
        <x:v>Uptake kinetics</x:v>
      </x:c>
      <x:c r="D34" s="120" t="n">
        <x:f>Model_Dataset!I31</x:f>
        <x:v>20</x:v>
      </x:c>
      <x:c r="E34" s="121" t="n">
        <x:f>Model_Dataset!J31</x:f>
        <x:v>50</x:v>
      </x:c>
      <x:c r="F34" s="121" t="n">
        <x:f>Model_Dataset!N31</x:f>
        <x:v>0.25</x:v>
      </x:c>
      <x:c r="G34" s="122" t="n">
        <x:f>Model_Dataset!Q31</x:f>
        <x:v>42.563322</x:v>
      </x:c>
      <x:c r="H34" s="123" t="n">
        <x:f>Model_Dataset!A31</x:f>
        <x:v>30</x:v>
      </x:c>
    </x:row>
    <x:row r="35" ht="15" hidden="0" customHeight="1">
      <x:c r="A35" s="119" t="str">
        <x:f>Model_Dataset!B32</x:f>
        <x:v>Tm</x:v>
      </x:c>
      <x:c r="B35" s="119" t="str">
        <x:f>Model_Dataset!E32</x:f>
        <x:v>Single</x:v>
      </x:c>
      <x:c r="C35" s="119" t="str">
        <x:f>Model_Dataset!G32</x:f>
        <x:v>Uptake kinetics</x:v>
      </x:c>
      <x:c r="D35" s="120" t="n">
        <x:f>Model_Dataset!I32</x:f>
        <x:v>25</x:v>
      </x:c>
      <x:c r="E35" s="121" t="n">
        <x:f>Model_Dataset!J32</x:f>
        <x:v>50</x:v>
      </x:c>
      <x:c r="F35" s="121" t="n">
        <x:f>Model_Dataset!N32</x:f>
        <x:v>0.25</x:v>
      </x:c>
      <x:c r="G35" s="122" t="n">
        <x:f>Model_Dataset!Q32</x:f>
        <x:v>42.996536</x:v>
      </x:c>
      <x:c r="H35" s="123" t="n">
        <x:f>Model_Dataset!A32</x:f>
        <x:v>31</x:v>
      </x:c>
    </x:row>
    <x:row r="36" ht="15" hidden="0" customHeight="1">
      <x:c r="A36" s="119" t="str">
        <x:f>Model_Dataset!B33</x:f>
        <x:v>Tm</x:v>
      </x:c>
      <x:c r="B36" s="119" t="str">
        <x:f>Model_Dataset!E33</x:f>
        <x:v>Single</x:v>
      </x:c>
      <x:c r="C36" s="119" t="str">
        <x:f>Model_Dataset!G33</x:f>
        <x:v>Uptake kinetics</x:v>
      </x:c>
      <x:c r="D36" s="120" t="n">
        <x:f>Model_Dataset!I33</x:f>
        <x:v>30</x:v>
      </x:c>
      <x:c r="E36" s="121" t="n">
        <x:f>Model_Dataset!J33</x:f>
        <x:v>50</x:v>
      </x:c>
      <x:c r="F36" s="121" t="n">
        <x:f>Model_Dataset!N33</x:f>
        <x:v>0.25</x:v>
      </x:c>
      <x:c r="G36" s="122" t="n">
        <x:f>Model_Dataset!Q33</x:f>
        <x:v>42.996536</x:v>
      </x:c>
      <x:c r="H36" s="123" t="n">
        <x:f>Model_Dataset!A33</x:f>
        <x:v>32</x:v>
      </x:c>
    </x:row>
    <x:row r="37" ht="15" hidden="0" customHeight="1">
      <x:c r="A37" s="119" t="str">
        <x:f>Model_Dataset!B34</x:f>
        <x:v>Tm</x:v>
      </x:c>
      <x:c r="B37" s="119" t="str">
        <x:f>Model_Dataset!E34</x:f>
        <x:v>Single</x:v>
      </x:c>
      <x:c r="C37" s="119" t="str">
        <x:f>Model_Dataset!G34</x:f>
        <x:v>Uptake kinetics</x:v>
      </x:c>
      <x:c r="D37" s="120" t="n">
        <x:f>Model_Dataset!I34</x:f>
        <x:v>35</x:v>
      </x:c>
      <x:c r="E37" s="121" t="n">
        <x:f>Model_Dataset!J34</x:f>
        <x:v>50</x:v>
      </x:c>
      <x:c r="F37" s="121" t="n">
        <x:f>Model_Dataset!N34</x:f>
        <x:v>0.25</x:v>
      </x:c>
      <x:c r="G37" s="122" t="n">
        <x:f>Model_Dataset!Q34</x:f>
        <x:v>42.996536</x:v>
      </x:c>
      <x:c r="H37" s="123" t="n">
        <x:f>Model_Dataset!A34</x:f>
        <x:v>33</x:v>
      </x:c>
    </x:row>
    <x:row r="38" ht="15" hidden="0" customHeight="1">
      <x:c r="A38" s="119" t="str">
        <x:f>Model_Dataset!B35</x:f>
        <x:v>Tm</x:v>
      </x:c>
      <x:c r="B38" s="119" t="str">
        <x:f>Model_Dataset!E35</x:f>
        <x:v>Single</x:v>
      </x:c>
      <x:c r="C38" s="119" t="str">
        <x:f>Model_Dataset!G35</x:f>
        <x:v>Uptake kinetics</x:v>
      </x:c>
      <x:c r="D38" s="120" t="n">
        <x:f>Model_Dataset!I35</x:f>
        <x:v>40</x:v>
      </x:c>
      <x:c r="E38" s="121" t="n">
        <x:f>Model_Dataset!J35</x:f>
        <x:v>50</x:v>
      </x:c>
      <x:c r="F38" s="121" t="n">
        <x:f>Model_Dataset!N35</x:f>
        <x:v>0.25</x:v>
      </x:c>
      <x:c r="G38" s="122" t="n">
        <x:f>Model_Dataset!Q35</x:f>
        <x:v>43.213147</x:v>
      </x:c>
      <x:c r="H38" s="123" t="n">
        <x:f>Model_Dataset!A35</x:f>
        <x:v>34</x:v>
      </x:c>
    </x:row>
    <x:row r="39" ht="15" hidden="0" customHeight="1">
      <x:c r="A39" s="119" t="str">
        <x:f>Model_Dataset!B36</x:f>
        <x:v>Tm</x:v>
      </x:c>
      <x:c r="B39" s="119" t="str">
        <x:f>Model_Dataset!E36</x:f>
        <x:v>Single</x:v>
      </x:c>
      <x:c r="C39" s="119" t="str">
        <x:f>Model_Dataset!G36</x:f>
        <x:v>Uptake kinetics</x:v>
      </x:c>
      <x:c r="D39" s="120" t="n">
        <x:f>Model_Dataset!I36</x:f>
        <x:v>50</x:v>
      </x:c>
      <x:c r="E39" s="121" t="n">
        <x:f>Model_Dataset!J36</x:f>
        <x:v>50</x:v>
      </x:c>
      <x:c r="F39" s="121" t="n">
        <x:f>Model_Dataset!N36</x:f>
        <x:v>0.25</x:v>
      </x:c>
      <x:c r="G39" s="122" t="n">
        <x:f>Model_Dataset!Q36</x:f>
        <x:v>42.996543</x:v>
      </x:c>
      <x:c r="H39" s="123" t="n">
        <x:f>Model_Dataset!A36</x:f>
        <x:v>35</x:v>
      </x:c>
    </x:row>
    <x:row r="40" ht="15" hidden="0" customHeight="1">
      <x:c r="A40" s="119" t="str">
        <x:f>Model_Dataset!B37</x:f>
        <x:v>Tm</x:v>
      </x:c>
      <x:c r="B40" s="119" t="str">
        <x:f>Model_Dataset!E37</x:f>
        <x:v>Single</x:v>
      </x:c>
      <x:c r="C40" s="119" t="str">
        <x:f>Model_Dataset!G37</x:f>
        <x:v>Uptake kinetics</x:v>
      </x:c>
      <x:c r="D40" s="120" t="n">
        <x:f>Model_Dataset!I37</x:f>
        <x:v>60</x:v>
      </x:c>
      <x:c r="E40" s="121" t="n">
        <x:f>Model_Dataset!J37</x:f>
        <x:v>50</x:v>
      </x:c>
      <x:c r="F40" s="121" t="n">
        <x:f>Model_Dataset!N37</x:f>
        <x:v>0.25</x:v>
      </x:c>
      <x:c r="G40" s="122" t="n">
        <x:f>Model_Dataset!Q37</x:f>
        <x:v>42.996545</x:v>
      </x:c>
      <x:c r="H40" s="123" t="n">
        <x:f>Model_Dataset!A37</x:f>
        <x:v>36</x:v>
      </x:c>
    </x:row>
    <x:row r="41" ht="15" hidden="0" customHeight="1">
      <x:c r="A41" s="119" t="str">
        <x:f>Model_Dataset!B38</x:f>
        <x:v>Tm</x:v>
      </x:c>
      <x:c r="B41" s="119" t="str">
        <x:f>Model_Dataset!E38</x:f>
        <x:v>Single</x:v>
      </x:c>
      <x:c r="C41" s="119" t="str">
        <x:f>Model_Dataset!G38</x:f>
        <x:v>Uptake kinetics</x:v>
      </x:c>
      <x:c r="D41" s="120" t="n">
        <x:f>Model_Dataset!I38</x:f>
        <x:v>0</x:v>
      </x:c>
      <x:c r="E41" s="121" t="n">
        <x:f>Model_Dataset!J38</x:f>
        <x:v>50</x:v>
      </x:c>
      <x:c r="F41" s="121" t="n">
        <x:f>Model_Dataset!N38</x:f>
        <x:v>0.25</x:v>
      </x:c>
      <x:c r="G41" s="122" t="n">
        <x:f>Model_Dataset!Q38</x:f>
        <x:v>0</x:v>
      </x:c>
      <x:c r="H41" s="123" t="n">
        <x:f>Model_Dataset!A38</x:f>
        <x:v>37</x:v>
      </x:c>
    </x:row>
    <x:row r="42" ht="15" hidden="0" customHeight="1">
      <x:c r="A42" s="119" t="str">
        <x:f>Model_Dataset!B39</x:f>
        <x:v>Tm</x:v>
      </x:c>
      <x:c r="B42" s="119" t="str">
        <x:f>Model_Dataset!E39</x:f>
        <x:v>Single</x:v>
      </x:c>
      <x:c r="C42" s="119" t="str">
        <x:f>Model_Dataset!G39</x:f>
        <x:v>Uptake kinetics</x:v>
      </x:c>
      <x:c r="D42" s="120" t="n">
        <x:f>Model_Dataset!I39</x:f>
        <x:v>2</x:v>
      </x:c>
      <x:c r="E42" s="121" t="n">
        <x:f>Model_Dataset!J39</x:f>
        <x:v>50</x:v>
      </x:c>
      <x:c r="F42" s="121" t="n">
        <x:f>Model_Dataset!N39</x:f>
        <x:v>0.25</x:v>
      </x:c>
      <x:c r="G42" s="122" t="n">
        <x:f>Model_Dataset!Q39</x:f>
        <x:v>5.198845</x:v>
      </x:c>
      <x:c r="H42" s="123" t="n">
        <x:f>Model_Dataset!A39</x:f>
        <x:v>38</x:v>
      </x:c>
    </x:row>
    <x:row r="43" ht="15" hidden="0" customHeight="1">
      <x:c r="A43" s="119" t="str">
        <x:f>Model_Dataset!B40</x:f>
        <x:v>Tm</x:v>
      </x:c>
      <x:c r="B43" s="119" t="str">
        <x:f>Model_Dataset!E40</x:f>
        <x:v>Single</x:v>
      </x:c>
      <x:c r="C43" s="119" t="str">
        <x:f>Model_Dataset!G40</x:f>
        <x:v>Uptake kinetics</x:v>
      </x:c>
      <x:c r="D43" s="120" t="n">
        <x:f>Model_Dataset!I40</x:f>
        <x:v>5</x:v>
      </x:c>
      <x:c r="E43" s="121" t="n">
        <x:f>Model_Dataset!J40</x:f>
        <x:v>50</x:v>
      </x:c>
      <x:c r="F43" s="121" t="n">
        <x:f>Model_Dataset!N40</x:f>
        <x:v>0.25</x:v>
      </x:c>
      <x:c r="G43" s="122" t="n">
        <x:f>Model_Dataset!Q40</x:f>
        <x:v>20.794512</x:v>
      </x:c>
      <x:c r="H43" s="123" t="n">
        <x:f>Model_Dataset!A40</x:f>
        <x:v>39</x:v>
      </x:c>
    </x:row>
    <x:row r="44" ht="15" hidden="0" customHeight="1">
      <x:c r="A44" s="119" t="str">
        <x:f>Model_Dataset!B41</x:f>
        <x:v>Tm</x:v>
      </x:c>
      <x:c r="B44" s="119" t="str">
        <x:f>Model_Dataset!E41</x:f>
        <x:v>Single</x:v>
      </x:c>
      <x:c r="C44" s="119" t="str">
        <x:f>Model_Dataset!G41</x:f>
        <x:v>Uptake kinetics</x:v>
      </x:c>
      <x:c r="D44" s="120" t="n">
        <x:f>Model_Dataset!I41</x:f>
        <x:v>10</x:v>
      </x:c>
      <x:c r="E44" s="121" t="n">
        <x:f>Model_Dataset!J41</x:f>
        <x:v>50</x:v>
      </x:c>
      <x:c r="F44" s="121" t="n">
        <x:f>Model_Dataset!N41</x:f>
        <x:v>0.25</x:v>
      </x:c>
      <x:c r="G44" s="122" t="n">
        <x:f>Model_Dataset!Q41</x:f>
        <x:v>30.975017</x:v>
      </x:c>
      <x:c r="H44" s="123" t="n">
        <x:f>Model_Dataset!A41</x:f>
        <x:v>40</x:v>
      </x:c>
    </x:row>
    <x:row r="45" ht="15" hidden="0" customHeight="1">
      <x:c r="A45" s="119" t="str">
        <x:f>Model_Dataset!B42</x:f>
        <x:v>Tm</x:v>
      </x:c>
      <x:c r="B45" s="119" t="str">
        <x:f>Model_Dataset!E42</x:f>
        <x:v>Single</x:v>
      </x:c>
      <x:c r="C45" s="119" t="str">
        <x:f>Model_Dataset!G42</x:f>
        <x:v>Uptake kinetics</x:v>
      </x:c>
      <x:c r="D45" s="120" t="n">
        <x:f>Model_Dataset!I42</x:f>
        <x:v>15</x:v>
      </x:c>
      <x:c r="E45" s="121" t="n">
        <x:f>Model_Dataset!J42</x:f>
        <x:v>50</x:v>
      </x:c>
      <x:c r="F45" s="121" t="n">
        <x:f>Model_Dataset!N42</x:f>
        <x:v>0.25</x:v>
      </x:c>
      <x:c r="G45" s="122" t="n">
        <x:f>Model_Dataset!Q42</x:f>
        <x:v>42.23841</x:v>
      </x:c>
      <x:c r="H45" s="123" t="n">
        <x:f>Model_Dataset!A42</x:f>
        <x:v>41</x:v>
      </x:c>
    </x:row>
    <x:row r="46" ht="15" hidden="0" customHeight="1">
      <x:c r="A46" s="119" t="str">
        <x:f>Model_Dataset!B43</x:f>
        <x:v>Tm</x:v>
      </x:c>
      <x:c r="B46" s="119" t="str">
        <x:f>Model_Dataset!E43</x:f>
        <x:v>Single</x:v>
      </x:c>
      <x:c r="C46" s="119" t="str">
        <x:f>Model_Dataset!G43</x:f>
        <x:v>Uptake kinetics</x:v>
      </x:c>
      <x:c r="D46" s="120" t="n">
        <x:f>Model_Dataset!I43</x:f>
        <x:v>20</x:v>
      </x:c>
      <x:c r="E46" s="121" t="n">
        <x:f>Model_Dataset!J43</x:f>
        <x:v>50</x:v>
      </x:c>
      <x:c r="F46" s="121" t="n">
        <x:f>Model_Dataset!N43</x:f>
        <x:v>0.25</x:v>
      </x:c>
      <x:c r="G46" s="122" t="n">
        <x:f>Model_Dataset!Q43</x:f>
        <x:v>43.971119</x:v>
      </x:c>
      <x:c r="H46" s="123" t="n">
        <x:f>Model_Dataset!A43</x:f>
        <x:v>42</x:v>
      </x:c>
    </x:row>
    <x:row r="47" ht="15" hidden="0" customHeight="1">
      <x:c r="A47" s="119" t="str">
        <x:f>Model_Dataset!B44</x:f>
        <x:v>Tm</x:v>
      </x:c>
      <x:c r="B47" s="119" t="str">
        <x:f>Model_Dataset!E44</x:f>
        <x:v>Single</x:v>
      </x:c>
      <x:c r="C47" s="119" t="str">
        <x:f>Model_Dataset!G44</x:f>
        <x:v>Uptake kinetics</x:v>
      </x:c>
      <x:c r="D47" s="120" t="n">
        <x:f>Model_Dataset!I44</x:f>
        <x:v>25</x:v>
      </x:c>
      <x:c r="E47" s="121" t="n">
        <x:f>Model_Dataset!J44</x:f>
        <x:v>50</x:v>
      </x:c>
      <x:c r="F47" s="121" t="n">
        <x:f>Model_Dataset!N44</x:f>
        <x:v>0.25</x:v>
      </x:c>
      <x:c r="G47" s="122" t="n">
        <x:f>Model_Dataset!Q44</x:f>
        <x:v>43.971119</x:v>
      </x:c>
      <x:c r="H47" s="123" t="n">
        <x:f>Model_Dataset!A44</x:f>
        <x:v>43</x:v>
      </x:c>
    </x:row>
    <x:row r="48" ht="15" hidden="0" customHeight="1">
      <x:c r="A48" s="119" t="str">
        <x:f>Model_Dataset!B45</x:f>
        <x:v>Tm</x:v>
      </x:c>
      <x:c r="B48" s="119" t="str">
        <x:f>Model_Dataset!E45</x:f>
        <x:v>Single</x:v>
      </x:c>
      <x:c r="C48" s="119" t="str">
        <x:f>Model_Dataset!G45</x:f>
        <x:v>Uptake kinetics</x:v>
      </x:c>
      <x:c r="D48" s="120" t="n">
        <x:f>Model_Dataset!I45</x:f>
        <x:v>30</x:v>
      </x:c>
      <x:c r="E48" s="121" t="n">
        <x:f>Model_Dataset!J45</x:f>
        <x:v>50</x:v>
      </x:c>
      <x:c r="F48" s="121" t="n">
        <x:f>Model_Dataset!N45</x:f>
        <x:v>0.25</x:v>
      </x:c>
      <x:c r="G48" s="122" t="n">
        <x:f>Model_Dataset!Q45</x:f>
        <x:v>44.187728</x:v>
      </x:c>
      <x:c r="H48" s="123" t="n">
        <x:f>Model_Dataset!A45</x:f>
        <x:v>44</x:v>
      </x:c>
    </x:row>
    <x:row r="49" ht="15" hidden="0" customHeight="1">
      <x:c r="A49" s="119" t="str">
        <x:f>Model_Dataset!B46</x:f>
        <x:v>Tm</x:v>
      </x:c>
      <x:c r="B49" s="119" t="str">
        <x:f>Model_Dataset!E46</x:f>
        <x:v>Single</x:v>
      </x:c>
      <x:c r="C49" s="119" t="str">
        <x:f>Model_Dataset!G46</x:f>
        <x:v>Uptake kinetics</x:v>
      </x:c>
      <x:c r="D49" s="120" t="n">
        <x:f>Model_Dataset!I46</x:f>
        <x:v>35</x:v>
      </x:c>
      <x:c r="E49" s="121" t="n">
        <x:f>Model_Dataset!J46</x:f>
        <x:v>50</x:v>
      </x:c>
      <x:c r="F49" s="121" t="n">
        <x:f>Model_Dataset!N46</x:f>
        <x:v>0.25</x:v>
      </x:c>
      <x:c r="G49" s="122" t="n">
        <x:f>Model_Dataset!Q46</x:f>
        <x:v>44.187728</x:v>
      </x:c>
      <x:c r="H49" s="123" t="n">
        <x:f>Model_Dataset!A46</x:f>
        <x:v>45</x:v>
      </x:c>
    </x:row>
    <x:row r="50" ht="15" hidden="0" customHeight="1">
      <x:c r="A50" s="119" t="str">
        <x:f>Model_Dataset!B47</x:f>
        <x:v>Tm</x:v>
      </x:c>
      <x:c r="B50" s="119" t="str">
        <x:f>Model_Dataset!E47</x:f>
        <x:v>Single</x:v>
      </x:c>
      <x:c r="C50" s="119" t="str">
        <x:f>Model_Dataset!G47</x:f>
        <x:v>Uptake kinetics</x:v>
      </x:c>
      <x:c r="D50" s="120" t="n">
        <x:f>Model_Dataset!I47</x:f>
        <x:v>40</x:v>
      </x:c>
      <x:c r="E50" s="121" t="n">
        <x:f>Model_Dataset!J47</x:f>
        <x:v>50</x:v>
      </x:c>
      <x:c r="F50" s="121" t="n">
        <x:f>Model_Dataset!N47</x:f>
        <x:v>0.25</x:v>
      </x:c>
      <x:c r="G50" s="122" t="n">
        <x:f>Model_Dataset!Q47</x:f>
        <x:v>44.18773</x:v>
      </x:c>
      <x:c r="H50" s="123" t="n">
        <x:f>Model_Dataset!A47</x:f>
        <x:v>46</x:v>
      </x:c>
    </x:row>
    <x:row r="51" ht="15" hidden="0" customHeight="1">
      <x:c r="A51" s="119" t="str">
        <x:f>Model_Dataset!B48</x:f>
        <x:v>Tm</x:v>
      </x:c>
      <x:c r="B51" s="119" t="str">
        <x:f>Model_Dataset!E48</x:f>
        <x:v>Single</x:v>
      </x:c>
      <x:c r="C51" s="119" t="str">
        <x:f>Model_Dataset!G48</x:f>
        <x:v>Uptake kinetics</x:v>
      </x:c>
      <x:c r="D51" s="120" t="n">
        <x:f>Model_Dataset!I48</x:f>
        <x:v>50</x:v>
      </x:c>
      <x:c r="E51" s="121" t="n">
        <x:f>Model_Dataset!J48</x:f>
        <x:v>50</x:v>
      </x:c>
      <x:c r="F51" s="121" t="n">
        <x:f>Model_Dataset!N48</x:f>
        <x:v>0.25</x:v>
      </x:c>
      <x:c r="G51" s="122" t="n">
        <x:f>Model_Dataset!Q48</x:f>
        <x:v>44.187732</x:v>
      </x:c>
      <x:c r="H51" s="123" t="n">
        <x:f>Model_Dataset!A48</x:f>
        <x:v>47</x:v>
      </x:c>
    </x:row>
    <x:row r="52" ht="15" hidden="0" customHeight="1">
      <x:c r="A52" s="119" t="str">
        <x:f>Model_Dataset!B49</x:f>
        <x:v>Tm</x:v>
      </x:c>
      <x:c r="B52" s="119" t="str">
        <x:f>Model_Dataset!E49</x:f>
        <x:v>Single</x:v>
      </x:c>
      <x:c r="C52" s="119" t="str">
        <x:f>Model_Dataset!G49</x:f>
        <x:v>Uptake kinetics</x:v>
      </x:c>
      <x:c r="D52" s="120" t="n">
        <x:f>Model_Dataset!I49</x:f>
        <x:v>60</x:v>
      </x:c>
      <x:c r="E52" s="121" t="n">
        <x:f>Model_Dataset!J49</x:f>
        <x:v>50</x:v>
      </x:c>
      <x:c r="F52" s="121" t="n">
        <x:f>Model_Dataset!N49</x:f>
        <x:v>0.25</x:v>
      </x:c>
      <x:c r="G52" s="122" t="n">
        <x:f>Model_Dataset!Q49</x:f>
        <x:v>44.187735</x:v>
      </x:c>
      <x:c r="H52" s="123" t="n">
        <x:f>Model_Dataset!A49</x:f>
        <x:v>48</x:v>
      </x:c>
    </x:row>
    <x:row r="53" ht="15" hidden="0" customHeight="1">
      <x:c r="A53" s="119" t="str">
        <x:f>Model_Dataset!B50</x:f>
        <x:v>Pr</x:v>
      </x:c>
      <x:c r="B53" s="119" t="str">
        <x:f>Model_Dataset!E50</x:f>
        <x:v>Binary</x:v>
      </x:c>
      <x:c r="C53" s="119" t="str">
        <x:f>Model_Dataset!G50</x:f>
        <x:v>Uptake kinetics</x:v>
      </x:c>
      <x:c r="D53" s="120" t="n">
        <x:f>Model_Dataset!I50</x:f>
        <x:v>0</x:v>
      </x:c>
      <x:c r="E53" s="121" t="n">
        <x:f>Model_Dataset!J50</x:f>
        <x:v>50</x:v>
      </x:c>
      <x:c r="F53" s="121" t="n">
        <x:f>Model_Dataset!N50</x:f>
        <x:v>0.25</x:v>
      </x:c>
      <x:c r="G53" s="122" t="n">
        <x:f>Model_Dataset!Q50</x:f>
        <x:v>0</x:v>
      </x:c>
      <x:c r="H53" s="123" t="n">
        <x:f>Model_Dataset!A50</x:f>
        <x:v>49</x:v>
      </x:c>
    </x:row>
    <x:row r="54" ht="15" hidden="0" customHeight="1">
      <x:c r="A54" s="119" t="str">
        <x:f>Model_Dataset!B51</x:f>
        <x:v>Pr</x:v>
      </x:c>
      <x:c r="B54" s="119" t="str">
        <x:f>Model_Dataset!E51</x:f>
        <x:v>Binary</x:v>
      </x:c>
      <x:c r="C54" s="119" t="str">
        <x:f>Model_Dataset!G51</x:f>
        <x:v>Uptake kinetics</x:v>
      </x:c>
      <x:c r="D54" s="120" t="n">
        <x:f>Model_Dataset!I51</x:f>
        <x:v>2</x:v>
      </x:c>
      <x:c r="E54" s="121" t="n">
        <x:f>Model_Dataset!J51</x:f>
        <x:v>50</x:v>
      </x:c>
      <x:c r="F54" s="121" t="n">
        <x:f>Model_Dataset!N51</x:f>
        <x:v>0.25</x:v>
      </x:c>
      <x:c r="G54" s="122" t="n">
        <x:f>Model_Dataset!Q51</x:f>
        <x:v>3.710793</x:v>
      </x:c>
      <x:c r="H54" s="123" t="n">
        <x:f>Model_Dataset!A51</x:f>
        <x:v>50</x:v>
      </x:c>
    </x:row>
    <x:row r="55" ht="15" hidden="0" customHeight="1">
      <x:c r="A55" s="119" t="str">
        <x:f>Model_Dataset!B52</x:f>
        <x:v>Pr</x:v>
      </x:c>
      <x:c r="B55" s="119" t="str">
        <x:f>Model_Dataset!E52</x:f>
        <x:v>Binary</x:v>
      </x:c>
      <x:c r="C55" s="119" t="str">
        <x:f>Model_Dataset!G52</x:f>
        <x:v>Uptake kinetics</x:v>
      </x:c>
      <x:c r="D55" s="120" t="n">
        <x:f>Model_Dataset!I52</x:f>
        <x:v>5</x:v>
      </x:c>
      <x:c r="E55" s="121" t="n">
        <x:f>Model_Dataset!J52</x:f>
        <x:v>50</x:v>
      </x:c>
      <x:c r="F55" s="121" t="n">
        <x:f>Model_Dataset!N52</x:f>
        <x:v>0.25</x:v>
      </x:c>
      <x:c r="G55" s="122" t="n">
        <x:f>Model_Dataset!Q52</x:f>
        <x:v>11.03038</x:v>
      </x:c>
      <x:c r="H55" s="123" t="n">
        <x:f>Model_Dataset!A52</x:f>
        <x:v>51</x:v>
      </x:c>
    </x:row>
    <x:row r="56" ht="15" hidden="0" customHeight="1">
      <x:c r="A56" s="119" t="str">
        <x:f>Model_Dataset!B53</x:f>
        <x:v>Pr</x:v>
      </x:c>
      <x:c r="B56" s="119" t="str">
        <x:f>Model_Dataset!E53</x:f>
        <x:v>Binary</x:v>
      </x:c>
      <x:c r="C56" s="119" t="str">
        <x:f>Model_Dataset!G53</x:f>
        <x:v>Uptake kinetics</x:v>
      </x:c>
      <x:c r="D56" s="120" t="n">
        <x:f>Model_Dataset!I53</x:f>
        <x:v>10</x:v>
      </x:c>
      <x:c r="E56" s="121" t="n">
        <x:f>Model_Dataset!J53</x:f>
        <x:v>50</x:v>
      </x:c>
      <x:c r="F56" s="121" t="n">
        <x:f>Model_Dataset!N53</x:f>
        <x:v>0.25</x:v>
      </x:c>
      <x:c r="G56" s="122" t="n">
        <x:f>Model_Dataset!Q53</x:f>
        <x:v>16.185018</x:v>
      </x:c>
      <x:c r="H56" s="123" t="n">
        <x:f>Model_Dataset!A53</x:f>
        <x:v>52</x:v>
      </x:c>
    </x:row>
    <x:row r="57" ht="15" hidden="0" customHeight="1">
      <x:c r="A57" s="119" t="str">
        <x:f>Model_Dataset!B54</x:f>
        <x:v>Pr</x:v>
      </x:c>
      <x:c r="B57" s="119" t="str">
        <x:f>Model_Dataset!E54</x:f>
        <x:v>Binary</x:v>
      </x:c>
      <x:c r="C57" s="119" t="str">
        <x:f>Model_Dataset!G54</x:f>
        <x:v>Uptake kinetics</x:v>
      </x:c>
      <x:c r="D57" s="120" t="n">
        <x:f>Model_Dataset!I54</x:f>
        <x:v>15</x:v>
      </x:c>
      <x:c r="E57" s="121" t="n">
        <x:f>Model_Dataset!J54</x:f>
        <x:v>50</x:v>
      </x:c>
      <x:c r="F57" s="121" t="n">
        <x:f>Model_Dataset!N54</x:f>
        <x:v>0.25</x:v>
      </x:c>
      <x:c r="G57" s="122" t="n">
        <x:f>Model_Dataset!Q54</x:f>
        <x:v>23.298965</x:v>
      </x:c>
      <x:c r="H57" s="123" t="n">
        <x:f>Model_Dataset!A54</x:f>
        <x:v>53</x:v>
      </x:c>
    </x:row>
    <x:row r="58" ht="15" hidden="0" customHeight="1">
      <x:c r="A58" s="119" t="str">
        <x:f>Model_Dataset!B55</x:f>
        <x:v>Pr</x:v>
      </x:c>
      <x:c r="B58" s="119" t="str">
        <x:f>Model_Dataset!E55</x:f>
        <x:v>Binary</x:v>
      </x:c>
      <x:c r="C58" s="119" t="str">
        <x:f>Model_Dataset!G55</x:f>
        <x:v>Uptake kinetics</x:v>
      </x:c>
      <x:c r="D58" s="120" t="n">
        <x:f>Model_Dataset!I55</x:f>
        <x:v>20</x:v>
      </x:c>
      <x:c r="E58" s="121" t="n">
        <x:f>Model_Dataset!J55</x:f>
        <x:v>50</x:v>
      </x:c>
      <x:c r="F58" s="121" t="n">
        <x:f>Model_Dataset!N55</x:f>
        <x:v>0.25</x:v>
      </x:c>
      <x:c r="G58" s="122" t="n">
        <x:f>Model_Dataset!Q55</x:f>
        <x:v>26.907214</x:v>
      </x:c>
      <x:c r="H58" s="123" t="n">
        <x:f>Model_Dataset!A55</x:f>
        <x:v>54</x:v>
      </x:c>
    </x:row>
    <x:row r="59" ht="15" hidden="0" customHeight="1">
      <x:c r="A59" s="119" t="str">
        <x:f>Model_Dataset!B56</x:f>
        <x:v>Pr</x:v>
      </x:c>
      <x:c r="B59" s="119" t="str">
        <x:f>Model_Dataset!E56</x:f>
        <x:v>Binary</x:v>
      </x:c>
      <x:c r="C59" s="119" t="str">
        <x:f>Model_Dataset!G56</x:f>
        <x:v>Uptake kinetics</x:v>
      </x:c>
      <x:c r="D59" s="120" t="n">
        <x:f>Model_Dataset!I56</x:f>
        <x:v>25</x:v>
      </x:c>
      <x:c r="E59" s="121" t="n">
        <x:f>Model_Dataset!J56</x:f>
        <x:v>50</x:v>
      </x:c>
      <x:c r="F59" s="121" t="n">
        <x:f>Model_Dataset!N56</x:f>
        <x:v>0.25</x:v>
      </x:c>
      <x:c r="G59" s="122" t="n">
        <x:f>Model_Dataset!Q56</x:f>
        <x:v>27.113401</x:v>
      </x:c>
      <x:c r="H59" s="123" t="n">
        <x:f>Model_Dataset!A56</x:f>
        <x:v>55</x:v>
      </x:c>
    </x:row>
    <x:row r="60" ht="15" hidden="0" customHeight="1">
      <x:c r="A60" s="119" t="str">
        <x:f>Model_Dataset!B57</x:f>
        <x:v>Pr</x:v>
      </x:c>
      <x:c r="B60" s="119" t="str">
        <x:f>Model_Dataset!E57</x:f>
        <x:v>Binary</x:v>
      </x:c>
      <x:c r="C60" s="119" t="str">
        <x:f>Model_Dataset!G57</x:f>
        <x:v>Uptake kinetics</x:v>
      </x:c>
      <x:c r="D60" s="120" t="n">
        <x:f>Model_Dataset!I57</x:f>
        <x:v>30</x:v>
      </x:c>
      <x:c r="E60" s="121" t="n">
        <x:f>Model_Dataset!J57</x:f>
        <x:v>50</x:v>
      </x:c>
      <x:c r="F60" s="121" t="n">
        <x:f>Model_Dataset!N57</x:f>
        <x:v>0.25</x:v>
      </x:c>
      <x:c r="G60" s="122" t="n">
        <x:f>Model_Dataset!Q57</x:f>
        <x:v>27.319585</x:v>
      </x:c>
      <x:c r="H60" s="123" t="n">
        <x:f>Model_Dataset!A57</x:f>
        <x:v>56</x:v>
      </x:c>
    </x:row>
    <x:row r="61" ht="15" hidden="0" customHeight="1">
      <x:c r="A61" s="119" t="str">
        <x:f>Model_Dataset!B58</x:f>
        <x:v>Pr</x:v>
      </x:c>
      <x:c r="B61" s="119" t="str">
        <x:f>Model_Dataset!E58</x:f>
        <x:v>Binary</x:v>
      </x:c>
      <x:c r="C61" s="119" t="str">
        <x:f>Model_Dataset!G58</x:f>
        <x:v>Uptake kinetics</x:v>
      </x:c>
      <x:c r="D61" s="120" t="n">
        <x:f>Model_Dataset!I58</x:f>
        <x:v>35</x:v>
      </x:c>
      <x:c r="E61" s="121" t="n">
        <x:f>Model_Dataset!J58</x:f>
        <x:v>50</x:v>
      </x:c>
      <x:c r="F61" s="121" t="n">
        <x:f>Model_Dataset!N58</x:f>
        <x:v>0.25</x:v>
      </x:c>
      <x:c r="G61" s="122" t="n">
        <x:f>Model_Dataset!Q58</x:f>
        <x:v>27.216494</x:v>
      </x:c>
      <x:c r="H61" s="123" t="n">
        <x:f>Model_Dataset!A58</x:f>
        <x:v>57</x:v>
      </x:c>
    </x:row>
    <x:row r="62" ht="15" hidden="0" customHeight="1">
      <x:c r="A62" s="119" t="str">
        <x:f>Model_Dataset!B59</x:f>
        <x:v>Pr</x:v>
      </x:c>
      <x:c r="B62" s="119" t="str">
        <x:f>Model_Dataset!E59</x:f>
        <x:v>Binary</x:v>
      </x:c>
      <x:c r="C62" s="119" t="str">
        <x:f>Model_Dataset!G59</x:f>
        <x:v>Uptake kinetics</x:v>
      </x:c>
      <x:c r="D62" s="120" t="n">
        <x:f>Model_Dataset!I59</x:f>
        <x:v>40</x:v>
      </x:c>
      <x:c r="E62" s="121" t="n">
        <x:f>Model_Dataset!J59</x:f>
        <x:v>50</x:v>
      </x:c>
      <x:c r="F62" s="121" t="n">
        <x:f>Model_Dataset!N59</x:f>
        <x:v>0.25</x:v>
      </x:c>
      <x:c r="G62" s="122" t="n">
        <x:f>Model_Dataset!Q59</x:f>
        <x:v>27.319587</x:v>
      </x:c>
      <x:c r="H62" s="123" t="n">
        <x:f>Model_Dataset!A59</x:f>
        <x:v>58</x:v>
      </x:c>
    </x:row>
    <x:row r="63" ht="15" hidden="0" customHeight="1">
      <x:c r="A63" s="119" t="str">
        <x:f>Model_Dataset!B60</x:f>
        <x:v>Pr</x:v>
      </x:c>
      <x:c r="B63" s="119" t="str">
        <x:f>Model_Dataset!E60</x:f>
        <x:v>Binary</x:v>
      </x:c>
      <x:c r="C63" s="119" t="str">
        <x:f>Model_Dataset!G60</x:f>
        <x:v>Uptake kinetics</x:v>
      </x:c>
      <x:c r="D63" s="120" t="n">
        <x:f>Model_Dataset!I60</x:f>
        <x:v>50</x:v>
      </x:c>
      <x:c r="E63" s="121" t="n">
        <x:f>Model_Dataset!J60</x:f>
        <x:v>50</x:v>
      </x:c>
      <x:c r="F63" s="121" t="n">
        <x:f>Model_Dataset!N60</x:f>
        <x:v>0.25</x:v>
      </x:c>
      <x:c r="G63" s="122" t="n">
        <x:f>Model_Dataset!Q60</x:f>
        <x:v>27.319587</x:v>
      </x:c>
      <x:c r="H63" s="123" t="n">
        <x:f>Model_Dataset!A60</x:f>
        <x:v>59</x:v>
      </x:c>
    </x:row>
    <x:row r="64" ht="15" hidden="0" customHeight="1">
      <x:c r="A64" s="119" t="str">
        <x:f>Model_Dataset!B61</x:f>
        <x:v>Pr</x:v>
      </x:c>
      <x:c r="B64" s="119" t="str">
        <x:f>Model_Dataset!E61</x:f>
        <x:v>Binary</x:v>
      </x:c>
      <x:c r="C64" s="119" t="str">
        <x:f>Model_Dataset!G61</x:f>
        <x:v>Uptake kinetics</x:v>
      </x:c>
      <x:c r="D64" s="120" t="n">
        <x:f>Model_Dataset!I61</x:f>
        <x:v>60</x:v>
      </x:c>
      <x:c r="E64" s="121" t="n">
        <x:f>Model_Dataset!J61</x:f>
        <x:v>50</x:v>
      </x:c>
      <x:c r="F64" s="121" t="n">
        <x:f>Model_Dataset!N61</x:f>
        <x:v>0.25</x:v>
      </x:c>
      <x:c r="G64" s="122" t="n">
        <x:f>Model_Dataset!Q61</x:f>
        <x:v>27.319587</x:v>
      </x:c>
      <x:c r="H64" s="123" t="n">
        <x:f>Model_Dataset!A61</x:f>
        <x:v>60</x:v>
      </x:c>
    </x:row>
    <x:row r="65" ht="15" hidden="0" customHeight="1">
      <x:c r="A65" s="119" t="str">
        <x:f>Model_Dataset!B62</x:f>
        <x:v>Tm</x:v>
      </x:c>
      <x:c r="B65" s="119" t="str">
        <x:f>Model_Dataset!E62</x:f>
        <x:v>Binary</x:v>
      </x:c>
      <x:c r="C65" s="119" t="str">
        <x:f>Model_Dataset!G62</x:f>
        <x:v>Uptake kinetics</x:v>
      </x:c>
      <x:c r="D65" s="120" t="n">
        <x:f>Model_Dataset!I62</x:f>
        <x:v>0</x:v>
      </x:c>
      <x:c r="E65" s="121" t="n">
        <x:f>Model_Dataset!J62</x:f>
        <x:v>50</x:v>
      </x:c>
      <x:c r="F65" s="121" t="n">
        <x:f>Model_Dataset!N62</x:f>
        <x:v>0.25</x:v>
      </x:c>
      <x:c r="G65" s="122" t="n">
        <x:f>Model_Dataset!Q62</x:f>
        <x:v>0</x:v>
      </x:c>
      <x:c r="H65" s="123" t="n">
        <x:f>Model_Dataset!A62</x:f>
        <x:v>61</x:v>
      </x:c>
    </x:row>
    <x:row r="66" ht="15" hidden="0" customHeight="1">
      <x:c r="A66" s="119" t="str">
        <x:f>Model_Dataset!B63</x:f>
        <x:v>Tm</x:v>
      </x:c>
      <x:c r="B66" s="119" t="str">
        <x:f>Model_Dataset!E63</x:f>
        <x:v>Binary</x:v>
      </x:c>
      <x:c r="C66" s="119" t="str">
        <x:f>Model_Dataset!G63</x:f>
        <x:v>Uptake kinetics</x:v>
      </x:c>
      <x:c r="D66" s="120" t="n">
        <x:f>Model_Dataset!I63</x:f>
        <x:v>2</x:v>
      </x:c>
      <x:c r="E66" s="121" t="n">
        <x:f>Model_Dataset!J63</x:f>
        <x:v>50</x:v>
      </x:c>
      <x:c r="F66" s="121" t="n">
        <x:f>Model_Dataset!N63</x:f>
        <x:v>0.25</x:v>
      </x:c>
      <x:c r="G66" s="122" t="n">
        <x:f>Model_Dataset!Q63</x:f>
        <x:v>6.391205</x:v>
      </x:c>
      <x:c r="H66" s="123" t="n">
        <x:f>Model_Dataset!A63</x:f>
        <x:v>62</x:v>
      </x:c>
    </x:row>
    <x:row r="67" ht="15" hidden="0" customHeight="1">
      <x:c r="A67" s="119" t="str">
        <x:f>Model_Dataset!B64</x:f>
        <x:v>Tm</x:v>
      </x:c>
      <x:c r="B67" s="119" t="str">
        <x:f>Model_Dataset!E64</x:f>
        <x:v>Binary</x:v>
      </x:c>
      <x:c r="C67" s="119" t="str">
        <x:f>Model_Dataset!G64</x:f>
        <x:v>Uptake kinetics</x:v>
      </x:c>
      <x:c r="D67" s="120" t="n">
        <x:f>Model_Dataset!I64</x:f>
        <x:v>5</x:v>
      </x:c>
      <x:c r="E67" s="121" t="n">
        <x:f>Model_Dataset!J64</x:f>
        <x:v>50</x:v>
      </x:c>
      <x:c r="F67" s="121" t="n">
        <x:f>Model_Dataset!N64</x:f>
        <x:v>0.25</x:v>
      </x:c>
      <x:c r="G67" s="122" t="n">
        <x:f>Model_Dataset!Q64</x:f>
        <x:v>12.576771</x:v>
      </x:c>
      <x:c r="H67" s="123" t="n">
        <x:f>Model_Dataset!A64</x:f>
        <x:v>63</x:v>
      </x:c>
    </x:row>
    <x:row r="68" ht="15" hidden="0" customHeight="1">
      <x:c r="A68" s="119" t="str">
        <x:f>Model_Dataset!B65</x:f>
        <x:v>Tm</x:v>
      </x:c>
      <x:c r="B68" s="119" t="str">
        <x:f>Model_Dataset!E65</x:f>
        <x:v>Binary</x:v>
      </x:c>
      <x:c r="C68" s="119" t="str">
        <x:f>Model_Dataset!G65</x:f>
        <x:v>Uptake kinetics</x:v>
      </x:c>
      <x:c r="D68" s="120" t="n">
        <x:f>Model_Dataset!I65</x:f>
        <x:v>10</x:v>
      </x:c>
      <x:c r="E68" s="121" t="n">
        <x:f>Model_Dataset!J65</x:f>
        <x:v>50</x:v>
      </x:c>
      <x:c r="F68" s="121" t="n">
        <x:f>Model_Dataset!N65</x:f>
        <x:v>0.25</x:v>
      </x:c>
      <x:c r="G68" s="122" t="n">
        <x:f>Model_Dataset!Q65</x:f>
        <x:v>15.772646</x:v>
      </x:c>
      <x:c r="H68" s="123" t="n">
        <x:f>Model_Dataset!A65</x:f>
        <x:v>64</x:v>
      </x:c>
    </x:row>
    <x:row r="69" ht="15" hidden="0" customHeight="1">
      <x:c r="A69" s="119" t="str">
        <x:f>Model_Dataset!B66</x:f>
        <x:v>Tm</x:v>
      </x:c>
      <x:c r="B69" s="119" t="str">
        <x:f>Model_Dataset!E66</x:f>
        <x:v>Binary</x:v>
      </x:c>
      <x:c r="C69" s="119" t="str">
        <x:f>Model_Dataset!G66</x:f>
        <x:v>Uptake kinetics</x:v>
      </x:c>
      <x:c r="D69" s="120" t="n">
        <x:f>Model_Dataset!I66</x:f>
        <x:v>15</x:v>
      </x:c>
      <x:c r="E69" s="121" t="n">
        <x:f>Model_Dataset!J66</x:f>
        <x:v>50</x:v>
      </x:c>
      <x:c r="F69" s="121" t="n">
        <x:f>Model_Dataset!N66</x:f>
        <x:v>0.25</x:v>
      </x:c>
      <x:c r="G69" s="122" t="n">
        <x:f>Model_Dataset!Q66</x:f>
        <x:v>19.587076</x:v>
      </x:c>
      <x:c r="H69" s="123" t="n">
        <x:f>Model_Dataset!A66</x:f>
        <x:v>65</x:v>
      </x:c>
    </x:row>
    <x:row r="70" ht="15" hidden="0" customHeight="1">
      <x:c r="A70" s="119" t="str">
        <x:f>Model_Dataset!B67</x:f>
        <x:v>Tm</x:v>
      </x:c>
      <x:c r="B70" s="119" t="str">
        <x:f>Model_Dataset!E67</x:f>
        <x:v>Binary</x:v>
      </x:c>
      <x:c r="C70" s="119" t="str">
        <x:f>Model_Dataset!G67</x:f>
        <x:v>Uptake kinetics</x:v>
      </x:c>
      <x:c r="D70" s="120" t="n">
        <x:f>Model_Dataset!I67</x:f>
        <x:v>20</x:v>
      </x:c>
      <x:c r="E70" s="121" t="n">
        <x:f>Model_Dataset!J67</x:f>
        <x:v>50</x:v>
      </x:c>
      <x:c r="F70" s="121" t="n">
        <x:f>Model_Dataset!N67</x:f>
        <x:v>0.25</x:v>
      </x:c>
      <x:c r="G70" s="122" t="n">
        <x:f>Model_Dataset!Q67</x:f>
        <x:v>23.505152</x:v>
      </x:c>
      <x:c r="H70" s="123" t="n">
        <x:f>Model_Dataset!A67</x:f>
        <x:v>66</x:v>
      </x:c>
    </x:row>
    <x:row r="71" ht="15" hidden="0" customHeight="1">
      <x:c r="A71" s="119" t="str">
        <x:f>Model_Dataset!B68</x:f>
        <x:v>Tm</x:v>
      </x:c>
      <x:c r="B71" s="119" t="str">
        <x:f>Model_Dataset!E68</x:f>
        <x:v>Binary</x:v>
      </x:c>
      <x:c r="C71" s="119" t="str">
        <x:f>Model_Dataset!G68</x:f>
        <x:v>Uptake kinetics</x:v>
      </x:c>
      <x:c r="D71" s="120" t="n">
        <x:f>Model_Dataset!I68</x:f>
        <x:v>25</x:v>
      </x:c>
      <x:c r="E71" s="121" t="n">
        <x:f>Model_Dataset!J68</x:f>
        <x:v>50</x:v>
      </x:c>
      <x:c r="F71" s="121" t="n">
        <x:f>Model_Dataset!N68</x:f>
        <x:v>0.25</x:v>
      </x:c>
      <x:c r="G71" s="122" t="n">
        <x:f>Model_Dataset!Q68</x:f>
        <x:v>25.876286</x:v>
      </x:c>
      <x:c r="H71" s="123" t="n">
        <x:f>Model_Dataset!A68</x:f>
        <x:v>67</x:v>
      </x:c>
    </x:row>
    <x:row r="72" ht="15" hidden="0" customHeight="1">
      <x:c r="A72" s="119" t="str">
        <x:f>Model_Dataset!B69</x:f>
        <x:v>Tm</x:v>
      </x:c>
      <x:c r="B72" s="119" t="str">
        <x:f>Model_Dataset!E69</x:f>
        <x:v>Binary</x:v>
      </x:c>
      <x:c r="C72" s="119" t="str">
        <x:f>Model_Dataset!G69</x:f>
        <x:v>Uptake kinetics</x:v>
      </x:c>
      <x:c r="D72" s="120" t="n">
        <x:f>Model_Dataset!I69</x:f>
        <x:v>30</x:v>
      </x:c>
      <x:c r="E72" s="121" t="n">
        <x:f>Model_Dataset!J69</x:f>
        <x:v>50</x:v>
      </x:c>
      <x:c r="F72" s="121" t="n">
        <x:f>Model_Dataset!N69</x:f>
        <x:v>0.25</x:v>
      </x:c>
      <x:c r="G72" s="122" t="n">
        <x:f>Model_Dataset!Q69</x:f>
        <x:v>25.670102</x:v>
      </x:c>
      <x:c r="H72" s="123" t="n">
        <x:f>Model_Dataset!A69</x:f>
        <x:v>68</x:v>
      </x:c>
    </x:row>
    <x:row r="73" ht="15" hidden="0" customHeight="1">
      <x:c r="A73" s="119" t="str">
        <x:f>Model_Dataset!B70</x:f>
        <x:v>Tm</x:v>
      </x:c>
      <x:c r="B73" s="119" t="str">
        <x:f>Model_Dataset!E70</x:f>
        <x:v>Binary</x:v>
      </x:c>
      <x:c r="C73" s="119" t="str">
        <x:f>Model_Dataset!G70</x:f>
        <x:v>Uptake kinetics</x:v>
      </x:c>
      <x:c r="D73" s="120" t="n">
        <x:f>Model_Dataset!I70</x:f>
        <x:v>35</x:v>
      </x:c>
      <x:c r="E73" s="121" t="n">
        <x:f>Model_Dataset!J70</x:f>
        <x:v>50</x:v>
      </x:c>
      <x:c r="F73" s="121" t="n">
        <x:f>Model_Dataset!N70</x:f>
        <x:v>0.25</x:v>
      </x:c>
      <x:c r="G73" s="122" t="n">
        <x:f>Model_Dataset!Q70</x:f>
        <x:v>25.876286</x:v>
      </x:c>
      <x:c r="H73" s="123" t="n">
        <x:f>Model_Dataset!A70</x:f>
        <x:v>69</x:v>
      </x:c>
    </x:row>
    <x:row r="74" ht="15" hidden="0" customHeight="1">
      <x:c r="A74" s="119" t="str">
        <x:f>Model_Dataset!B71</x:f>
        <x:v>Tm</x:v>
      </x:c>
      <x:c r="B74" s="119" t="str">
        <x:f>Model_Dataset!E71</x:f>
        <x:v>Binary</x:v>
      </x:c>
      <x:c r="C74" s="119" t="str">
        <x:f>Model_Dataset!G71</x:f>
        <x:v>Uptake kinetics</x:v>
      </x:c>
      <x:c r="D74" s="120" t="n">
        <x:f>Model_Dataset!I71</x:f>
        <x:v>40</x:v>
      </x:c>
      <x:c r="E74" s="121" t="n">
        <x:f>Model_Dataset!J71</x:f>
        <x:v>50</x:v>
      </x:c>
      <x:c r="F74" s="121" t="n">
        <x:f>Model_Dataset!N71</x:f>
        <x:v>0.25</x:v>
      </x:c>
      <x:c r="G74" s="122" t="n">
        <x:f>Model_Dataset!Q71</x:f>
        <x:v>25.773194</x:v>
      </x:c>
      <x:c r="H74" s="123" t="n">
        <x:f>Model_Dataset!A71</x:f>
        <x:v>70</x:v>
      </x:c>
    </x:row>
    <x:row r="75" ht="15" hidden="0" customHeight="1">
      <x:c r="A75" s="119" t="str">
        <x:f>Model_Dataset!B72</x:f>
        <x:v>Tm</x:v>
      </x:c>
      <x:c r="B75" s="119" t="str">
        <x:f>Model_Dataset!E72</x:f>
        <x:v>Binary</x:v>
      </x:c>
      <x:c r="C75" s="119" t="str">
        <x:f>Model_Dataset!G72</x:f>
        <x:v>Uptake kinetics</x:v>
      </x:c>
      <x:c r="D75" s="120" t="n">
        <x:f>Model_Dataset!I72</x:f>
        <x:v>50</x:v>
      </x:c>
      <x:c r="E75" s="121" t="n">
        <x:f>Model_Dataset!J72</x:f>
        <x:v>50</x:v>
      </x:c>
      <x:c r="F75" s="121" t="n">
        <x:f>Model_Dataset!N72</x:f>
        <x:v>0.25</x:v>
      </x:c>
      <x:c r="G75" s="122" t="n">
        <x:f>Model_Dataset!Q72</x:f>
        <x:v>25.670104</x:v>
      </x:c>
      <x:c r="H75" s="123" t="n">
        <x:f>Model_Dataset!A72</x:f>
        <x:v>71</x:v>
      </x:c>
    </x:row>
    <x:row r="76" ht="15" hidden="0" customHeight="1">
      <x:c r="A76" s="119" t="str">
        <x:f>Model_Dataset!B73</x:f>
        <x:v>Tm</x:v>
      </x:c>
      <x:c r="B76" s="119" t="str">
        <x:f>Model_Dataset!E73</x:f>
        <x:v>Binary</x:v>
      </x:c>
      <x:c r="C76" s="119" t="str">
        <x:f>Model_Dataset!G73</x:f>
        <x:v>Uptake kinetics</x:v>
      </x:c>
      <x:c r="D76" s="120" t="n">
        <x:f>Model_Dataset!I73</x:f>
        <x:v>60</x:v>
      </x:c>
      <x:c r="E76" s="121" t="n">
        <x:f>Model_Dataset!J73</x:f>
        <x:v>50</x:v>
      </x:c>
      <x:c r="F76" s="121" t="n">
        <x:f>Model_Dataset!N73</x:f>
        <x:v>0.25</x:v>
      </x:c>
      <x:c r="G76" s="122" t="n">
        <x:f>Model_Dataset!Q73</x:f>
        <x:v>25.876291</x:v>
      </x:c>
      <x:c r="H76" s="123" t="n">
        <x:f>Model_Dataset!A73</x:f>
        <x:v>72</x:v>
      </x:c>
    </x:row>
    <x:row r="77" ht="15" hidden="0" customHeight="1">
      <x:c r="A77" s="119" t="str">
        <x:f>Model_Dataset!B74</x:f>
        <x:v>Pr</x:v>
      </x:c>
      <x:c r="B77" s="119" t="str">
        <x:f>Model_Dataset!E74</x:f>
        <x:v>Single</x:v>
      </x:c>
      <x:c r="C77" s="119" t="str">
        <x:f>Model_Dataset!G74</x:f>
        <x:v>Sorption isotherm</x:v>
      </x:c>
      <x:c r="D77" s="120" t="n">
        <x:f>Model_Dataset!I74</x:f>
        <x:v>2880</x:v>
      </x:c>
      <x:c r="E77" s="121" t="n">
        <x:f>Model_Dataset!J74</x:f>
        <x:v>10.264807</x:v>
      </x:c>
      <x:c r="F77" s="121" t="n">
        <x:f>Model_Dataset!N74</x:f>
        <x:v>0.5</x:v>
      </x:c>
      <x:c r="G77" s="122" t="n">
        <x:f>Model_Dataset!Q74</x:f>
        <x:v>15.852153</x:v>
      </x:c>
      <x:c r="H77" s="123" t="n">
        <x:f>Model_Dataset!A74</x:f>
        <x:v>73</x:v>
      </x:c>
    </x:row>
    <x:row r="78" ht="15" hidden="0" customHeight="1">
      <x:c r="A78" s="119" t="str">
        <x:f>Model_Dataset!B75</x:f>
        <x:v>Pr</x:v>
      </x:c>
      <x:c r="B78" s="119" t="str">
        <x:f>Model_Dataset!E75</x:f>
        <x:v>Single</x:v>
      </x:c>
      <x:c r="C78" s="119" t="str">
        <x:f>Model_Dataset!G75</x:f>
        <x:v>Sorption isotherm</x:v>
      </x:c>
      <x:c r="D78" s="120" t="n">
        <x:f>Model_Dataset!I75</x:f>
        <x:v>2880</x:v>
      </x:c>
      <x:c r="E78" s="121" t="n">
        <x:f>Model_Dataset!J75</x:f>
        <x:v>20.529577</x:v>
      </x:c>
      <x:c r="F78" s="121" t="n">
        <x:f>Model_Dataset!N75</x:f>
        <x:v>0.5</x:v>
      </x:c>
      <x:c r="G78" s="122" t="n">
        <x:f>Model_Dataset!Q75</x:f>
        <x:v>31.70427</x:v>
      </x:c>
      <x:c r="H78" s="123" t="n">
        <x:f>Model_Dataset!A75</x:f>
        <x:v>74</x:v>
      </x:c>
    </x:row>
    <x:row r="79" ht="15" hidden="0" customHeight="1">
      <x:c r="A79" s="119" t="str">
        <x:f>Model_Dataset!B76</x:f>
        <x:v>Pr</x:v>
      </x:c>
      <x:c r="B79" s="119" t="str">
        <x:f>Model_Dataset!E76</x:f>
        <x:v>Single</x:v>
      </x:c>
      <x:c r="C79" s="119" t="str">
        <x:f>Model_Dataset!G76</x:f>
        <x:v>Sorption isotherm</x:v>
      </x:c>
      <x:c r="D79" s="120" t="n">
        <x:f>Model_Dataset!I76</x:f>
        <x:v>2880</x:v>
      </x:c>
      <x:c r="E79" s="121" t="n">
        <x:f>Model_Dataset!J76</x:f>
        <x:v>49.655725</x:v>
      </x:c>
      <x:c r="F79" s="121" t="n">
        <x:f>Model_Dataset!N76</x:f>
        <x:v>0.5</x:v>
      </x:c>
      <x:c r="G79" s="122" t="n">
        <x:f>Model_Dataset!Q76</x:f>
        <x:v>50.198396</x:v>
      </x:c>
      <x:c r="H79" s="123" t="n">
        <x:f>Model_Dataset!A76</x:f>
        <x:v>75</x:v>
      </x:c>
    </x:row>
    <x:row r="80" ht="15" hidden="0" customHeight="1">
      <x:c r="A80" s="119" t="str">
        <x:f>Model_Dataset!B77</x:f>
        <x:v>Pr</x:v>
      </x:c>
      <x:c r="B80" s="119" t="str">
        <x:f>Model_Dataset!E77</x:f>
        <x:v>Single</x:v>
      </x:c>
      <x:c r="C80" s="119" t="str">
        <x:f>Model_Dataset!G77</x:f>
        <x:v>Sorption isotherm</x:v>
      </x:c>
      <x:c r="D80" s="120" t="n">
        <x:f>Model_Dataset!I77</x:f>
        <x:v>2880</x:v>
      </x:c>
      <x:c r="E80" s="121" t="n">
        <x:f>Model_Dataset!J77</x:f>
        <x:v>100.737303</x:v>
      </x:c>
      <x:c r="F80" s="121" t="n">
        <x:f>Model_Dataset!N77</x:f>
        <x:v>0.5</x:v>
      </x:c>
      <x:c r="G80" s="122" t="n">
        <x:f>Model_Dataset!Q77</x:f>
        <x:v>84.538753</x:v>
      </x:c>
      <x:c r="H80" s="123" t="n">
        <x:f>Model_Dataset!A77</x:f>
        <x:v>76</x:v>
      </x:c>
    </x:row>
    <x:row r="81" ht="15" hidden="0" customHeight="1">
      <x:c r="A81" s="119" t="str">
        <x:f>Model_Dataset!B78</x:f>
        <x:v>Pr</x:v>
      </x:c>
      <x:c r="B81" s="119" t="str">
        <x:f>Model_Dataset!E78</x:f>
        <x:v>Single</x:v>
      </x:c>
      <x:c r="C81" s="119" t="str">
        <x:f>Model_Dataset!G78</x:f>
        <x:v>Sorption isotherm</x:v>
      </x:c>
      <x:c r="D81" s="120" t="n">
        <x:f>Model_Dataset!I78</x:f>
        <x:v>2880</x:v>
      </x:c>
      <x:c r="E81" s="121" t="n">
        <x:f>Model_Dataset!J78</x:f>
        <x:v>150.500786</x:v>
      </x:c>
      <x:c r="F81" s="121" t="n">
        <x:f>Model_Dataset!N78</x:f>
        <x:v>0.5</x:v>
      </x:c>
      <x:c r="G81" s="122" t="n">
        <x:f>Model_Dataset!Q78</x:f>
        <x:v>116.242967</x:v>
      </x:c>
      <x:c r="H81" s="123" t="n">
        <x:f>Model_Dataset!A78</x:f>
        <x:v>77</x:v>
      </x:c>
    </x:row>
    <x:row r="82" ht="15" hidden="0" customHeight="1">
      <x:c r="A82" s="119" t="str">
        <x:f>Model_Dataset!B79</x:f>
        <x:v>Pr</x:v>
      </x:c>
      <x:c r="B82" s="119" t="str">
        <x:f>Model_Dataset!E79</x:f>
        <x:v>Single</x:v>
      </x:c>
      <x:c r="C82" s="119" t="str">
        <x:f>Model_Dataset!G79</x:f>
        <x:v>Sorption isotherm</x:v>
      </x:c>
      <x:c r="D82" s="120" t="n">
        <x:f>Model_Dataset!I79</x:f>
        <x:v>2880</x:v>
      </x:c>
      <x:c r="E82" s="121" t="n">
        <x:f>Model_Dataset!J79</x:f>
        <x:v>200.552955</x:v>
      </x:c>
      <x:c r="F82" s="121" t="n">
        <x:f>Model_Dataset!N79</x:f>
        <x:v>0.5</x:v>
      </x:c>
      <x:c r="G82" s="122" t="n">
        <x:f>Model_Dataset!Q79</x:f>
        <x:v>146.185841</x:v>
      </x:c>
      <x:c r="H82" s="123" t="n">
        <x:f>Model_Dataset!A79</x:f>
        <x:v>78</x:v>
      </x:c>
    </x:row>
    <x:row r="83" ht="15" hidden="0" customHeight="1">
      <x:c r="A83" s="119" t="str">
        <x:f>Model_Dataset!B80</x:f>
        <x:v>Pr</x:v>
      </x:c>
      <x:c r="B83" s="119" t="str">
        <x:f>Model_Dataset!E80</x:f>
        <x:v>Single</x:v>
      </x:c>
      <x:c r="C83" s="119" t="str">
        <x:f>Model_Dataset!G80</x:f>
        <x:v>Sorption isotherm</x:v>
      </x:c>
      <x:c r="D83" s="120" t="n">
        <x:f>Model_Dataset!I80</x:f>
        <x:v>2880</x:v>
      </x:c>
      <x:c r="E83" s="121" t="n">
        <x:f>Model_Dataset!J80</x:f>
        <x:v>291.106942</x:v>
      </x:c>
      <x:c r="F83" s="121" t="n">
        <x:f>Model_Dataset!N80</x:f>
        <x:v>0.5</x:v>
      </x:c>
      <x:c r="G83" s="122" t="n">
        <x:f>Model_Dataset!Q80</x:f>
        <x:v>182.293415</x:v>
      </x:c>
      <x:c r="H83" s="123" t="n">
        <x:f>Model_Dataset!A80</x:f>
        <x:v>79</x:v>
      </x:c>
    </x:row>
    <x:row r="84" ht="15" hidden="0" customHeight="1">
      <x:c r="A84" s="119" t="str">
        <x:f>Model_Dataset!B81</x:f>
        <x:v>Pr</x:v>
      </x:c>
      <x:c r="B84" s="119" t="str">
        <x:f>Model_Dataset!E81</x:f>
        <x:v>Single</x:v>
      </x:c>
      <x:c r="C84" s="119" t="str">
        <x:f>Model_Dataset!G81</x:f>
        <x:v>Sorption isotherm</x:v>
      </x:c>
      <x:c r="D84" s="120" t="n">
        <x:f>Model_Dataset!I81</x:f>
        <x:v>2880</x:v>
      </x:c>
      <x:c r="E84" s="121" t="n">
        <x:f>Model_Dataset!J81</x:f>
        <x:v>358.547838</x:v>
      </x:c>
      <x:c r="F84" s="121" t="n">
        <x:f>Model_Dataset!N81</x:f>
        <x:v>0.5</x:v>
      </x:c>
      <x:c r="G84" s="122" t="n">
        <x:f>Model_Dataset!Q81</x:f>
        <x:v>209.594251</x:v>
      </x:c>
      <x:c r="H84" s="123" t="n">
        <x:f>Model_Dataset!A81</x:f>
        <x:v>80</x:v>
      </x:c>
    </x:row>
    <x:row r="85" ht="15" hidden="0" customHeight="1">
      <x:c r="A85" s="119" t="str">
        <x:f>Model_Dataset!B82</x:f>
        <x:v>Pr</x:v>
      </x:c>
      <x:c r="B85" s="119" t="str">
        <x:f>Model_Dataset!E82</x:f>
        <x:v>Single</x:v>
      </x:c>
      <x:c r="C85" s="119" t="str">
        <x:f>Model_Dataset!G82</x:f>
        <x:v>Sorption isotherm</x:v>
      </x:c>
      <x:c r="D85" s="120" t="n">
        <x:f>Model_Dataset!I82</x:f>
        <x:v>2880</x:v>
      </x:c>
      <x:c r="E85" s="121" t="n">
        <x:f>Model_Dataset!J82</x:f>
        <x:v>458.68692</x:v>
      </x:c>
      <x:c r="F85" s="121" t="n">
        <x:f>Model_Dataset!N82</x:f>
        <x:v>0.5</x:v>
      </x:c>
      <x:c r="G85" s="122" t="n">
        <x:f>Model_Dataset!Q82</x:f>
        <x:v>215.75896</x:v>
      </x:c>
      <x:c r="H85" s="123" t="n">
        <x:f>Model_Dataset!A82</x:f>
        <x:v>81</x:v>
      </x:c>
    </x:row>
    <x:row r="86" ht="15" hidden="0" customHeight="1">
      <x:c r="A86" s="119" t="str">
        <x:f>Model_Dataset!B83</x:f>
        <x:v>Pr</x:v>
      </x:c>
      <x:c r="B86" s="119" t="str">
        <x:f>Model_Dataset!E83</x:f>
        <x:v>Single</x:v>
      </x:c>
      <x:c r="C86" s="119" t="str">
        <x:f>Model_Dataset!G83</x:f>
        <x:v>Sorption isotherm</x:v>
      </x:c>
      <x:c r="D86" s="120" t="n">
        <x:f>Model_Dataset!I83</x:f>
        <x:v>2880</x:v>
      </x:c>
      <x:c r="E86" s="121" t="n">
        <x:f>Model_Dataset!J83</x:f>
        <x:v>497.867733</x:v>
      </x:c>
      <x:c r="F86" s="121" t="n">
        <x:f>Model_Dataset!N83</x:f>
        <x:v>0.5</x:v>
      </x:c>
      <x:c r="G86" s="122" t="n">
        <x:f>Model_Dataset!Q83</x:f>
        <x:v>219.28165</x:v>
      </x:c>
      <x:c r="H86" s="123" t="n">
        <x:f>Model_Dataset!A83</x:f>
        <x:v>82</x:v>
      </x:c>
    </x:row>
    <x:row r="87" ht="15" hidden="0" customHeight="1">
      <x:c r="A87" s="119" t="str">
        <x:f>Model_Dataset!B84</x:f>
        <x:v>Pr</x:v>
      </x:c>
      <x:c r="B87" s="119" t="str">
        <x:f>Model_Dataset!E84</x:f>
        <x:v>Single</x:v>
      </x:c>
      <x:c r="C87" s="119" t="str">
        <x:f>Model_Dataset!G84</x:f>
        <x:v>Sorption isotherm</x:v>
      </x:c>
      <x:c r="D87" s="120" t="n">
        <x:f>Model_Dataset!I84</x:f>
        <x:v>2880</x:v>
      </x:c>
      <x:c r="E87" s="121" t="n">
        <x:f>Model_Dataset!J84</x:f>
        <x:v>9.459966</x:v>
      </x:c>
      <x:c r="F87" s="121" t="n">
        <x:f>Model_Dataset!N84</x:f>
        <x:v>0.5</x:v>
      </x:c>
      <x:c r="G87" s="122" t="n">
        <x:f>Model_Dataset!Q84</x:f>
        <x:v>15.411827</x:v>
      </x:c>
      <x:c r="H87" s="123" t="n">
        <x:f>Model_Dataset!A84</x:f>
        <x:v>83</x:v>
      </x:c>
    </x:row>
    <x:row r="88" ht="15" hidden="0" customHeight="1">
      <x:c r="A88" s="119" t="str">
        <x:f>Model_Dataset!B85</x:f>
        <x:v>Pr</x:v>
      </x:c>
      <x:c r="B88" s="119" t="str">
        <x:f>Model_Dataset!E85</x:f>
        <x:v>Single</x:v>
      </x:c>
      <x:c r="C88" s="119" t="str">
        <x:f>Model_Dataset!G85</x:f>
        <x:v>Sorption isotherm</x:v>
      </x:c>
      <x:c r="D88" s="120" t="n">
        <x:f>Model_Dataset!I85</x:f>
        <x:v>2880</x:v>
      </x:c>
      <x:c r="E88" s="121" t="n">
        <x:f>Model_Dataset!J85</x:f>
        <x:v>20.453764</x:v>
      </x:c>
      <x:c r="F88" s="121" t="n">
        <x:f>Model_Dataset!N85</x:f>
        <x:v>0.5</x:v>
      </x:c>
      <x:c r="G88" s="122" t="n">
        <x:f>Model_Dataset!Q85</x:f>
        <x:v>30.383274</x:v>
      </x:c>
      <x:c r="H88" s="123" t="n">
        <x:f>Model_Dataset!A85</x:f>
        <x:v>84</x:v>
      </x:c>
    </x:row>
    <x:row r="89" ht="15" hidden="0" customHeight="1">
      <x:c r="A89" s="119" t="str">
        <x:f>Model_Dataset!B86</x:f>
        <x:v>Pr</x:v>
      </x:c>
      <x:c r="B89" s="119" t="str">
        <x:f>Model_Dataset!E86</x:f>
        <x:v>Single</x:v>
      </x:c>
      <x:c r="C89" s="119" t="str">
        <x:f>Model_Dataset!G86</x:f>
        <x:v>Sorption isotherm</x:v>
      </x:c>
      <x:c r="D89" s="120" t="n">
        <x:f>Model_Dataset!I86</x:f>
        <x:v>2880</x:v>
      </x:c>
      <x:c r="E89" s="121" t="n">
        <x:f>Model_Dataset!J86</x:f>
        <x:v>50.020235</x:v>
      </x:c>
      <x:c r="F89" s="121" t="n">
        <x:f>Model_Dataset!N86</x:f>
        <x:v>0.5</x:v>
      </x:c>
      <x:c r="G89" s="122" t="n">
        <x:f>Model_Dataset!Q86</x:f>
        <x:v>49.758061</x:v>
      </x:c>
      <x:c r="H89" s="123" t="n">
        <x:f>Model_Dataset!A86</x:f>
        <x:v>85</x:v>
      </x:c>
    </x:row>
    <x:row r="90" ht="15" hidden="0" customHeight="1">
      <x:c r="A90" s="119" t="str">
        <x:f>Model_Dataset!B87</x:f>
        <x:v>Pr</x:v>
      </x:c>
      <x:c r="B90" s="119" t="str">
        <x:f>Model_Dataset!E87</x:f>
        <x:v>Single</x:v>
      </x:c>
      <x:c r="C90" s="119" t="str">
        <x:f>Model_Dataset!G87</x:f>
        <x:v>Sorption isotherm</x:v>
      </x:c>
      <x:c r="D90" s="120" t="n">
        <x:f>Model_Dataset!I87</x:f>
        <x:v>2880</x:v>
      </x:c>
      <x:c r="E90" s="121" t="n">
        <x:f>Model_Dataset!J87</x:f>
        <x:v>98.766028</x:v>
      </x:c>
      <x:c r="F90" s="121" t="n">
        <x:f>Model_Dataset!N87</x:f>
        <x:v>0.5</x:v>
      </x:c>
      <x:c r="G90" s="122" t="n">
        <x:f>Model_Dataset!Q87</x:f>
        <x:v>84.104295</x:v>
      </x:c>
      <x:c r="H90" s="123" t="n">
        <x:f>Model_Dataset!A87</x:f>
        <x:v>86</x:v>
      </x:c>
    </x:row>
    <x:row r="91" ht="15" hidden="0" customHeight="1">
      <x:c r="A91" s="119" t="str">
        <x:f>Model_Dataset!B88</x:f>
        <x:v>Pr</x:v>
      </x:c>
      <x:c r="B91" s="119" t="str">
        <x:f>Model_Dataset!E88</x:f>
        <x:v>Single</x:v>
      </x:c>
      <x:c r="C91" s="119" t="str">
        <x:f>Model_Dataset!G88</x:f>
        <x:v>Sorption isotherm</x:v>
      </x:c>
      <x:c r="D91" s="120" t="n">
        <x:f>Model_Dataset!I88</x:f>
        <x:v>2880</x:v>
      </x:c>
      <x:c r="E91" s="121" t="n">
        <x:f>Model_Dataset!J88</x:f>
        <x:v>153.055297</x:v>
      </x:c>
      <x:c r="F91" s="121" t="n">
        <x:f>Model_Dataset!N88</x:f>
        <x:v>0.5</x:v>
      </x:c>
      <x:c r="G91" s="122" t="n">
        <x:f>Model_Dataset!Q88</x:f>
        <x:v>113.166471</x:v>
      </x:c>
      <x:c r="H91" s="123" t="n">
        <x:f>Model_Dataset!A88</x:f>
        <x:v>87</x:v>
      </x:c>
    </x:row>
    <x:row r="92" ht="15" hidden="0" customHeight="1">
      <x:c r="A92" s="119" t="str">
        <x:f>Model_Dataset!B89</x:f>
        <x:v>Pr</x:v>
      </x:c>
      <x:c r="B92" s="119" t="str">
        <x:f>Model_Dataset!E89</x:f>
        <x:v>Single</x:v>
      </x:c>
      <x:c r="C92" s="119" t="str">
        <x:f>Model_Dataset!G89</x:f>
        <x:v>Sorption isotherm</x:v>
      </x:c>
      <x:c r="D92" s="120" t="n">
        <x:f>Model_Dataset!I89</x:f>
        <x:v>2880</x:v>
      </x:c>
      <x:c r="E92" s="121" t="n">
        <x:f>Model_Dataset!J89</x:f>
        <x:v>197.975073</x:v>
      </x:c>
      <x:c r="F92" s="121" t="n">
        <x:f>Model_Dataset!N89</x:f>
        <x:v>0.5</x:v>
      </x:c>
      <x:c r="G92" s="122" t="n">
        <x:f>Model_Dataset!Q89</x:f>
        <x:v>135.183296</x:v>
      </x:c>
      <x:c r="H92" s="123" t="n">
        <x:f>Model_Dataset!A89</x:f>
        <x:v>88</x:v>
      </x:c>
    </x:row>
    <x:row r="93" ht="15" hidden="0" customHeight="1">
      <x:c r="A93" s="119" t="str">
        <x:f>Model_Dataset!B90</x:f>
        <x:v>Pr</x:v>
      </x:c>
      <x:c r="B93" s="119" t="str">
        <x:f>Model_Dataset!E90</x:f>
        <x:v>Single</x:v>
      </x:c>
      <x:c r="C93" s="119" t="str">
        <x:f>Model_Dataset!G90</x:f>
        <x:v>Sorption isotherm</x:v>
      </x:c>
      <x:c r="D93" s="120" t="n">
        <x:f>Model_Dataset!I90</x:f>
        <x:v>2880</x:v>
      </x:c>
      <x:c r="E93" s="121" t="n">
        <x:f>Model_Dataset!J90</x:f>
        <x:v>267.191932</x:v>
      </x:c>
      <x:c r="F93" s="121" t="n">
        <x:f>Model_Dataset!N90</x:f>
        <x:v>0.5</x:v>
      </x:c>
      <x:c r="G93" s="122" t="n">
        <x:f>Model_Dataset!Q90</x:f>
        <x:v>173.05222</x:v>
      </x:c>
      <x:c r="H93" s="123" t="n">
        <x:f>Model_Dataset!A90</x:f>
        <x:v>89</x:v>
      </x:c>
    </x:row>
    <x:row r="94" ht="15" hidden="0" customHeight="1">
      <x:c r="A94" s="119" t="str">
        <x:f>Model_Dataset!B91</x:f>
        <x:v>Pr</x:v>
      </x:c>
      <x:c r="B94" s="119" t="str">
        <x:f>Model_Dataset!E91</x:f>
        <x:v>Single</x:v>
      </x:c>
      <x:c r="C94" s="119" t="str">
        <x:f>Model_Dataset!G91</x:f>
        <x:v>Sorption isotherm</x:v>
      </x:c>
      <x:c r="D94" s="120" t="n">
        <x:f>Model_Dataset!I91</x:f>
        <x:v>2880</x:v>
      </x:c>
      <x:c r="E94" s="121" t="n">
        <x:f>Model_Dataset!J91</x:f>
        <x:v>352.036162</x:v>
      </x:c>
      <x:c r="F94" s="121" t="n">
        <x:f>Model_Dataset!N91</x:f>
        <x:v>0.5</x:v>
      </x:c>
      <x:c r="G94" s="122" t="n">
        <x:f>Model_Dataset!Q91</x:f>
        <x:v>204.756415</x:v>
      </x:c>
      <x:c r="H94" s="123" t="n">
        <x:f>Model_Dataset!A91</x:f>
        <x:v>90</x:v>
      </x:c>
    </x:row>
    <x:row r="95" ht="15" hidden="0" customHeight="1">
      <x:c r="A95" s="119" t="str">
        <x:f>Model_Dataset!B92</x:f>
        <x:v>Pr</x:v>
      </x:c>
      <x:c r="B95" s="119" t="str">
        <x:f>Model_Dataset!E92</x:f>
        <x:v>Single</x:v>
      </x:c>
      <x:c r="C95" s="119" t="str">
        <x:f>Model_Dataset!G92</x:f>
        <x:v>Sorption isotherm</x:v>
      </x:c>
      <x:c r="D95" s="120" t="n">
        <x:f>Model_Dataset!I92</x:f>
        <x:v>2880</x:v>
      </x:c>
      <x:c r="E95" s="121" t="n">
        <x:f>Model_Dataset!J92</x:f>
        <x:v>450.428539</x:v>
      </x:c>
      <x:c r="F95" s="121" t="n">
        <x:f>Model_Dataset!N92</x:f>
        <x:v>0.5</x:v>
      </x:c>
      <x:c r="G95" s="122" t="n">
        <x:f>Model_Dataset!Q92</x:f>
        <x:v>214.443805</x:v>
      </x:c>
      <x:c r="H95" s="123" t="n">
        <x:f>Model_Dataset!A92</x:f>
        <x:v>91</x:v>
      </x:c>
    </x:row>
    <x:row r="96" ht="15" hidden="0" customHeight="1">
      <x:c r="A96" s="119" t="str">
        <x:f>Model_Dataset!B93</x:f>
        <x:v>Pr</x:v>
      </x:c>
      <x:c r="B96" s="119" t="str">
        <x:f>Model_Dataset!E93</x:f>
        <x:v>Single</x:v>
      </x:c>
      <x:c r="C96" s="119" t="str">
        <x:f>Model_Dataset!G93</x:f>
        <x:v>Sorption isotherm</x:v>
      </x:c>
      <x:c r="D96" s="120" t="n">
        <x:f>Model_Dataset!I93</x:f>
        <x:v>2880</x:v>
      </x:c>
      <x:c r="E96" s="121" t="n">
        <x:f>Model_Dataset!J93</x:f>
        <x:v>498.372203</x:v>
      </x:c>
      <x:c r="F96" s="121" t="n">
        <x:f>Model_Dataset!N93</x:f>
        <x:v>0.5</x:v>
      </x:c>
      <x:c r="G96" s="122" t="n">
        <x:f>Model_Dataset!Q93</x:f>
        <x:v>214.443786</x:v>
      </x:c>
      <x:c r="H96" s="123" t="n">
        <x:f>Model_Dataset!A93</x:f>
        <x:v>92</x:v>
      </x:c>
    </x:row>
    <x:row r="97" ht="15" hidden="0" customHeight="1">
      <x:c r="A97" s="119" t="str">
        <x:f>Model_Dataset!B94</x:f>
        <x:v>Tm</x:v>
      </x:c>
      <x:c r="B97" s="119" t="str">
        <x:f>Model_Dataset!E94</x:f>
        <x:v>Single</x:v>
      </x:c>
      <x:c r="C97" s="119" t="str">
        <x:f>Model_Dataset!G94</x:f>
        <x:v>Sorption isotherm</x:v>
      </x:c>
      <x:c r="D97" s="120" t="n">
        <x:f>Model_Dataset!I94</x:f>
        <x:v>2880</x:v>
      </x:c>
      <x:c r="E97" s="121" t="n">
        <x:f>Model_Dataset!J94</x:f>
        <x:v>9.138962</x:v>
      </x:c>
      <x:c r="F97" s="121" t="n">
        <x:f>Model_Dataset!N94</x:f>
        <x:v>0.5</x:v>
      </x:c>
      <x:c r="G97" s="122" t="n">
        <x:f>Model_Dataset!Q94</x:f>
        <x:v>12.670114</x:v>
      </x:c>
      <x:c r="H97" s="123" t="n">
        <x:f>Model_Dataset!A94</x:f>
        <x:v>93</x:v>
      </x:c>
    </x:row>
    <x:row r="98" ht="15" hidden="0" customHeight="1">
      <x:c r="A98" s="119" t="str">
        <x:f>Model_Dataset!B95</x:f>
        <x:v>Tm</x:v>
      </x:c>
      <x:c r="B98" s="119" t="str">
        <x:f>Model_Dataset!E95</x:f>
        <x:v>Single</x:v>
      </x:c>
      <x:c r="C98" s="119" t="str">
        <x:f>Model_Dataset!G95</x:f>
        <x:v>Sorption isotherm</x:v>
      </x:c>
      <x:c r="D98" s="120" t="n">
        <x:f>Model_Dataset!I95</x:f>
        <x:v>2880</x:v>
      </x:c>
      <x:c r="E98" s="121" t="n">
        <x:f>Model_Dataset!J95</x:f>
        <x:v>19.679828</x:v>
      </x:c>
      <x:c r="F98" s="121" t="n">
        <x:f>Model_Dataset!N95</x:f>
        <x:v>0.5</x:v>
      </x:c>
      <x:c r="G98" s="122" t="n">
        <x:f>Model_Dataset!Q95</x:f>
        <x:v>25.340185</x:v>
      </x:c>
      <x:c r="H98" s="123" t="n">
        <x:f>Model_Dataset!A95</x:f>
        <x:v>94</x:v>
      </x:c>
    </x:row>
    <x:row r="99" ht="15" hidden="0" customHeight="1">
      <x:c r="A99" s="119" t="str">
        <x:f>Model_Dataset!B96</x:f>
        <x:v>Tm</x:v>
      </x:c>
      <x:c r="B99" s="119" t="str">
        <x:f>Model_Dataset!E96</x:f>
        <x:v>Single</x:v>
      </x:c>
      <x:c r="C99" s="119" t="str">
        <x:f>Model_Dataset!G96</x:f>
        <x:v>Sorption isotherm</x:v>
      </x:c>
      <x:c r="D99" s="120" t="n">
        <x:f>Model_Dataset!I96</x:f>
        <x:v>2880</x:v>
      </x:c>
      <x:c r="E99" s="121" t="n">
        <x:f>Model_Dataset!J96</x:f>
        <x:v>50.921262</x:v>
      </x:c>
      <x:c r="F99" s="121" t="n">
        <x:f>Model_Dataset!N96</x:f>
        <x:v>0.5</x:v>
      </x:c>
      <x:c r="G99" s="122" t="n">
        <x:f>Model_Dataset!Q96</x:f>
        <x:v>48.568654</x:v>
      </x:c>
      <x:c r="H99" s="123" t="n">
        <x:f>Model_Dataset!A96</x:f>
        <x:v>95</x:v>
      </x:c>
    </x:row>
    <x:row r="100" ht="15" hidden="0" customHeight="1">
      <x:c r="A100" s="119" t="str">
        <x:f>Model_Dataset!B97</x:f>
        <x:v>Tm</x:v>
      </x:c>
      <x:c r="B100" s="119" t="str">
        <x:f>Model_Dataset!E97</x:f>
        <x:v>Single</x:v>
      </x:c>
      <x:c r="C100" s="119" t="str">
        <x:f>Model_Dataset!G97</x:f>
        <x:v>Sorption isotherm</x:v>
      </x:c>
      <x:c r="D100" s="120" t="n">
        <x:f>Model_Dataset!I97</x:f>
        <x:v>2880</x:v>
      </x:c>
      <x:c r="E100" s="121" t="n">
        <x:f>Model_Dataset!J97</x:f>
        <x:v>101.277765</x:v>
      </x:c>
      <x:c r="F100" s="121" t="n">
        <x:f>Model_Dataset!N97</x:f>
        <x:v>0.5</x:v>
      </x:c>
      <x:c r="G100" s="122" t="n">
        <x:f>Model_Dataset!Q97</x:f>
        <x:v>79.184438</x:v>
      </x:c>
      <x:c r="H100" s="123" t="n">
        <x:f>Model_Dataset!A97</x:f>
        <x:v>96</x:v>
      </x:c>
    </x:row>
    <x:row r="101" ht="15" hidden="0" customHeight="1">
      <x:c r="A101" s="119" t="str">
        <x:f>Model_Dataset!B98</x:f>
        <x:v>Tm</x:v>
      </x:c>
      <x:c r="B101" s="119" t="str">
        <x:f>Model_Dataset!E98</x:f>
        <x:v>Single</x:v>
      </x:c>
      <x:c r="C101" s="119" t="str">
        <x:f>Model_Dataset!G98</x:f>
        <x:v>Sorption isotherm</x:v>
      </x:c>
      <x:c r="D101" s="120" t="n">
        <x:f>Model_Dataset!I98</x:f>
        <x:v>2880</x:v>
      </x:c>
      <x:c r="E101" s="121" t="n">
        <x:f>Model_Dataset!J98</x:f>
        <x:v>151.634232</x:v>
      </x:c>
      <x:c r="F101" s="121" t="n">
        <x:f>Model_Dataset!N98</x:f>
        <x:v>0.5</x:v>
      </x:c>
      <x:c r="G101" s="122" t="n">
        <x:f>Model_Dataset!Q98</x:f>
        <x:v>109.800221</x:v>
      </x:c>
      <x:c r="H101" s="123" t="n">
        <x:f>Model_Dataset!A98</x:f>
        <x:v>97</x:v>
      </x:c>
    </x:row>
    <x:row r="102" ht="15" hidden="0" customHeight="1">
      <x:c r="A102" s="119" t="str">
        <x:f>Model_Dataset!B99</x:f>
        <x:v>Tm</x:v>
      </x:c>
      <x:c r="B102" s="119" t="str">
        <x:f>Model_Dataset!E99</x:f>
        <x:v>Single</x:v>
      </x:c>
      <x:c r="C102" s="119" t="str">
        <x:f>Model_Dataset!G99</x:f>
        <x:v>Sorption isotherm</x:v>
      </x:c>
      <x:c r="D102" s="120" t="n">
        <x:f>Model_Dataset!I99</x:f>
        <x:v>2880</x:v>
      </x:c>
      <x:c r="E102" s="121" t="n">
        <x:f>Model_Dataset!J99</x:f>
        <x:v>197.405513</x:v>
      </x:c>
      <x:c r="F102" s="121" t="n">
        <x:f>Model_Dataset!N99</x:f>
        <x:v>0.5</x:v>
      </x:c>
      <x:c r="G102" s="122" t="n">
        <x:f>Model_Dataset!Q99</x:f>
        <x:v>125.637809</x:v>
      </x:c>
      <x:c r="H102" s="123" t="n">
        <x:f>Model_Dataset!A99</x:f>
        <x:v>98</x:v>
      </x:c>
    </x:row>
    <x:row r="103" ht="15" hidden="0" customHeight="1">
      <x:c r="A103" s="119" t="str">
        <x:f>Model_Dataset!B100</x:f>
        <x:v>Tm</x:v>
      </x:c>
      <x:c r="B103" s="119" t="str">
        <x:f>Model_Dataset!E100</x:f>
        <x:v>Single</x:v>
      </x:c>
      <x:c r="C103" s="119" t="str">
        <x:f>Model_Dataset!G100</x:f>
        <x:v>Sorption isotherm</x:v>
      </x:c>
      <x:c r="D103" s="120" t="n">
        <x:f>Model_Dataset!I100</x:f>
        <x:v>2880</x:v>
      </x:c>
      <x:c r="E103" s="121" t="n">
        <x:f>Model_Dataset!J100</x:f>
        <x:v>297.705831</x:v>
      </x:c>
      <x:c r="F103" s="121" t="n">
        <x:f>Model_Dataset!N100</x:f>
        <x:v>0.5</x:v>
      </x:c>
      <x:c r="G103" s="122" t="n">
        <x:f>Model_Dataset!Q100</x:f>
        <x:v>155.201292</x:v>
      </x:c>
      <x:c r="H103" s="123" t="n">
        <x:f>Model_Dataset!A100</x:f>
        <x:v>99</x:v>
      </x:c>
    </x:row>
    <x:row r="104" ht="15" hidden="0" customHeight="1">
      <x:c r="A104" s="119" t="str">
        <x:f>Model_Dataset!B101</x:f>
        <x:v>Tm</x:v>
      </x:c>
      <x:c r="B104" s="119" t="str">
        <x:f>Model_Dataset!E101</x:f>
        <x:v>Single</x:v>
      </x:c>
      <x:c r="C104" s="119" t="str">
        <x:f>Model_Dataset!G101</x:f>
        <x:v>Sorption isotherm</x:v>
      </x:c>
      <x:c r="D104" s="120" t="n">
        <x:f>Model_Dataset!I101</x:f>
        <x:v>2880</x:v>
      </x:c>
      <x:c r="E104" s="121" t="n">
        <x:f>Model_Dataset!J101</x:f>
        <x:v>348.210827</x:v>
      </x:c>
      <x:c r="F104" s="121" t="n">
        <x:f>Model_Dataset!N101</x:f>
        <x:v>0.5</x:v>
      </x:c>
      <x:c r="G104" s="122" t="n">
        <x:f>Model_Dataset!Q101</x:f>
        <x:v>172.094693</x:v>
      </x:c>
      <x:c r="H104" s="123" t="n">
        <x:f>Model_Dataset!A101</x:f>
        <x:v>100</x:v>
      </x:c>
    </x:row>
    <x:row r="105" ht="15" hidden="0" customHeight="1">
      <x:c r="A105" s="119" t="str">
        <x:f>Model_Dataset!B102</x:f>
        <x:v>Tm</x:v>
      </x:c>
      <x:c r="B105" s="119" t="str">
        <x:f>Model_Dataset!E102</x:f>
        <x:v>Single</x:v>
      </x:c>
      <x:c r="C105" s="119" t="str">
        <x:f>Model_Dataset!G102</x:f>
        <x:v>Sorption isotherm</x:v>
      </x:c>
      <x:c r="D105" s="120" t="n">
        <x:f>Model_Dataset!I102</x:f>
        <x:v>2880</x:v>
      </x:c>
      <x:c r="E105" s="121" t="n">
        <x:f>Model_Dataset!J102</x:f>
        <x:v>453.391631</x:v>
      </x:c>
      <x:c r="F105" s="121" t="n">
        <x:f>Model_Dataset!N102</x:f>
        <x:v>0.5</x:v>
      </x:c>
      <x:c r="G105" s="122" t="n">
        <x:f>Model_Dataset!Q102</x:f>
        <x:v>188.988116</x:v>
      </x:c>
      <x:c r="H105" s="123" t="n">
        <x:f>Model_Dataset!A102</x:f>
        <x:v>101</x:v>
      </x:c>
    </x:row>
    <x:row r="106" ht="15" hidden="0" customHeight="1">
      <x:c r="A106" s="119" t="str">
        <x:f>Model_Dataset!B103</x:f>
        <x:v>Tm</x:v>
      </x:c>
      <x:c r="B106" s="119" t="str">
        <x:f>Model_Dataset!E103</x:f>
        <x:v>Single</x:v>
      </x:c>
      <x:c r="C106" s="119" t="str">
        <x:f>Model_Dataset!G103</x:f>
        <x:v>Sorption isotherm</x:v>
      </x:c>
      <x:c r="D106" s="120" t="n">
        <x:f>Model_Dataset!I103</x:f>
        <x:v>2880</x:v>
      </x:c>
      <x:c r="E106" s="121" t="n">
        <x:f>Model_Dataset!J103</x:f>
        <x:v>488.094115</x:v>
      </x:c>
      <x:c r="F106" s="121" t="n">
        <x:f>Model_Dataset!N103</x:f>
        <x:v>0.5</x:v>
      </x:c>
      <x:c r="G106" s="122" t="n">
        <x:f>Model_Dataset!Q103</x:f>
        <x:v>191.099787</x:v>
      </x:c>
      <x:c r="H106" s="123" t="n">
        <x:f>Model_Dataset!A103</x:f>
        <x:v>102</x:v>
      </x:c>
    </x:row>
    <x:row r="107" ht="15" hidden="0" customHeight="1">
      <x:c r="A107" s="119" t="str">
        <x:f>Model_Dataset!B104</x:f>
        <x:v>Tm</x:v>
      </x:c>
      <x:c r="B107" s="119" t="str">
        <x:f>Model_Dataset!E104</x:f>
        <x:v>Single</x:v>
      </x:c>
      <x:c r="C107" s="119" t="str">
        <x:f>Model_Dataset!G104</x:f>
        <x:v>Sorption isotherm</x:v>
      </x:c>
      <x:c r="D107" s="120" t="n">
        <x:f>Model_Dataset!I104</x:f>
        <x:v>2880</x:v>
      </x:c>
      <x:c r="E107" s="121" t="n">
        <x:f>Model_Dataset!J104</x:f>
        <x:v>10.012985</x:v>
      </x:c>
      <x:c r="F107" s="121" t="n">
        <x:f>Model_Dataset!N104</x:f>
        <x:v>0.5</x:v>
      </x:c>
      <x:c r="G107" s="122" t="n">
        <x:f>Model_Dataset!Q104</x:f>
        <x:v>11.614279</x:v>
      </x:c>
      <x:c r="H107" s="123" t="n">
        <x:f>Model_Dataset!A104</x:f>
        <x:v>103</x:v>
      </x:c>
    </x:row>
    <x:row r="108" ht="15" hidden="0" customHeight="1">
      <x:c r="A108" s="119" t="str">
        <x:f>Model_Dataset!B105</x:f>
        <x:v>Tm</x:v>
      </x:c>
      <x:c r="B108" s="119" t="str">
        <x:f>Model_Dataset!E105</x:f>
        <x:v>Single</x:v>
      </x:c>
      <x:c r="C108" s="119" t="str">
        <x:f>Model_Dataset!G105</x:f>
        <x:v>Sorption isotherm</x:v>
      </x:c>
      <x:c r="D108" s="120" t="n">
        <x:f>Model_Dataset!I105</x:f>
        <x:v>2880</x:v>
      </x:c>
      <x:c r="E108" s="121" t="n">
        <x:f>Model_Dataset!J105</x:f>
        <x:v>22.137623</x:v>
      </x:c>
      <x:c r="F108" s="121" t="n">
        <x:f>Model_Dataset!N105</x:f>
        <x:v>0.5</x:v>
      </x:c>
      <x:c r="G108" s="122" t="n">
        <x:f>Model_Dataset!Q105</x:f>
        <x:v>27.451878</x:v>
      </x:c>
      <x:c r="H108" s="123" t="n">
        <x:f>Model_Dataset!A105</x:f>
        <x:v>104</x:v>
      </x:c>
    </x:row>
    <x:row r="109" ht="15" hidden="0" customHeight="1">
      <x:c r="A109" s="119" t="str">
        <x:f>Model_Dataset!B106</x:f>
        <x:v>Tm</x:v>
      </x:c>
      <x:c r="B109" s="119" t="str">
        <x:f>Model_Dataset!E106</x:f>
        <x:v>Single</x:v>
      </x:c>
      <x:c r="C109" s="119" t="str">
        <x:f>Model_Dataset!G106</x:f>
        <x:v>Sorption isotherm</x:v>
      </x:c>
      <x:c r="D109" s="120" t="n">
        <x:f>Model_Dataset!I106</x:f>
        <x:v>2880</x:v>
      </x:c>
      <x:c r="E109" s="121" t="n">
        <x:f>Model_Dataset!J106</x:f>
        <x:v>49.701133</x:v>
      </x:c>
      <x:c r="F109" s="121" t="n">
        <x:f>Model_Dataset!N106</x:f>
        <x:v>0.5</x:v>
      </x:c>
      <x:c r="G109" s="122" t="n">
        <x:f>Model_Dataset!Q106</x:f>
        <x:v>51.73616</x:v>
      </x:c>
      <x:c r="H109" s="123" t="n">
        <x:f>Model_Dataset!A106</x:f>
        <x:v>105</x:v>
      </x:c>
    </x:row>
    <x:row r="110" ht="15" hidden="0" customHeight="1">
      <x:c r="A110" s="119" t="str">
        <x:f>Model_Dataset!B107</x:f>
        <x:v>Tm</x:v>
      </x:c>
      <x:c r="B110" s="119" t="str">
        <x:f>Model_Dataset!E107</x:f>
        <x:v>Single</x:v>
      </x:c>
      <x:c r="C110" s="119" t="str">
        <x:f>Model_Dataset!G107</x:f>
        <x:v>Sorption isotherm</x:v>
      </x:c>
      <x:c r="D110" s="120" t="n">
        <x:f>Model_Dataset!I107</x:f>
        <x:v>2880</x:v>
      </x:c>
      <x:c r="E110" s="121" t="n">
        <x:f>Model_Dataset!J107</x:f>
        <x:v>101.805689</x:v>
      </x:c>
      <x:c r="F110" s="121" t="n">
        <x:f>Model_Dataset!N107</x:f>
        <x:v>0.5</x:v>
      </x:c>
      <x:c r="G110" s="122" t="n">
        <x:f>Model_Dataset!Q107</x:f>
        <x:v>80.240284</x:v>
      </x:c>
      <x:c r="H110" s="123" t="n">
        <x:f>Model_Dataset!A107</x:f>
        <x:v>106</x:v>
      </x:c>
    </x:row>
    <x:row r="111" ht="15" hidden="0" customHeight="1">
      <x:c r="A111" s="119" t="str">
        <x:f>Model_Dataset!B108</x:f>
        <x:v>Tm</x:v>
      </x:c>
      <x:c r="B111" s="119" t="str">
        <x:f>Model_Dataset!E108</x:f>
        <x:v>Single</x:v>
      </x:c>
      <x:c r="C111" s="119" t="str">
        <x:f>Model_Dataset!G108</x:f>
        <x:v>Sorption isotherm</x:v>
      </x:c>
      <x:c r="D111" s="120" t="n">
        <x:f>Model_Dataset!I108</x:f>
        <x:v>2880</x:v>
      </x:c>
      <x:c r="E111" s="121" t="n">
        <x:f>Model_Dataset!J108</x:f>
        <x:v>148.994638</x:v>
      </x:c>
      <x:c r="F111" s="121" t="n">
        <x:f>Model_Dataset!N108</x:f>
        <x:v>0.5</x:v>
      </x:c>
      <x:c r="G111" s="122" t="n">
        <x:f>Model_Dataset!Q108</x:f>
        <x:v>104.521033</x:v>
      </x:c>
      <x:c r="H111" s="123" t="n">
        <x:f>Model_Dataset!A108</x:f>
        <x:v>107</x:v>
      </x:c>
    </x:row>
    <x:row r="112" ht="15" hidden="0" customHeight="1">
      <x:c r="A112" s="119" t="str">
        <x:f>Model_Dataset!B109</x:f>
        <x:v>Tm</x:v>
      </x:c>
      <x:c r="B112" s="119" t="str">
        <x:f>Model_Dataset!E109</x:f>
        <x:v>Single</x:v>
      </x:c>
      <x:c r="C112" s="119" t="str">
        <x:f>Model_Dataset!G109</x:f>
        <x:v>Sorption isotherm</x:v>
      </x:c>
      <x:c r="D112" s="120" t="n">
        <x:f>Model_Dataset!I109</x:f>
        <x:v>2880</x:v>
      </x:c>
      <x:c r="E112" s="121" t="n">
        <x:f>Model_Dataset!J109</x:f>
        <x:v>201.447054</x:v>
      </x:c>
      <x:c r="F112" s="121" t="n">
        <x:f>Model_Dataset!N109</x:f>
        <x:v>0.5</x:v>
      </x:c>
      <x:c r="G112" s="122" t="n">
        <x:f>Model_Dataset!Q109</x:f>
        <x:v>130.917009</x:v>
      </x:c>
      <x:c r="H112" s="123" t="n">
        <x:f>Model_Dataset!A109</x:f>
        <x:v>108</x:v>
      </x:c>
    </x:row>
    <x:row r="113" ht="15" hidden="0" customHeight="1">
      <x:c r="A113" s="119" t="str">
        <x:f>Model_Dataset!B110</x:f>
        <x:v>Tm</x:v>
      </x:c>
      <x:c r="B113" s="119" t="str">
        <x:f>Model_Dataset!E110</x:f>
        <x:v>Single</x:v>
      </x:c>
      <x:c r="C113" s="119" t="str">
        <x:f>Model_Dataset!G110</x:f>
        <x:v>Sorption isotherm</x:v>
      </x:c>
      <x:c r="D113" s="120" t="n">
        <x:f>Model_Dataset!I110</x:f>
        <x:v>2880</x:v>
      </x:c>
      <x:c r="E113" s="121" t="n">
        <x:f>Model_Dataset!J110</x:f>
        <x:v>298.94346</x:v>
      </x:c>
      <x:c r="F113" s="121" t="n">
        <x:f>Model_Dataset!N110</x:f>
        <x:v>0.5</x:v>
      </x:c>
      <x:c r="G113" s="122" t="n">
        <x:f>Model_Dataset!Q110</x:f>
        <x:v>160.480491</x:v>
      </x:c>
      <x:c r="H113" s="123" t="n">
        <x:f>Model_Dataset!A110</x:f>
        <x:v>109</x:v>
      </x:c>
    </x:row>
    <x:row r="114" ht="15" hidden="0" customHeight="1">
      <x:c r="A114" s="119" t="str">
        <x:f>Model_Dataset!B111</x:f>
        <x:v>Tm</x:v>
      </x:c>
      <x:c r="B114" s="119" t="str">
        <x:f>Model_Dataset!E111</x:f>
        <x:v>Single</x:v>
      </x:c>
      <x:c r="C114" s="119" t="str">
        <x:f>Model_Dataset!G111</x:f>
        <x:v>Sorption isotherm</x:v>
      </x:c>
      <x:c r="D114" s="120" t="n">
        <x:f>Model_Dataset!I111</x:f>
        <x:v>2880</x:v>
      </x:c>
      <x:c r="E114" s="121" t="n">
        <x:f>Model_Dataset!J111</x:f>
        <x:v>351.906263</x:v>
      </x:c>
      <x:c r="F114" s="121" t="n">
        <x:f>Model_Dataset!N111</x:f>
        <x:v>0.5</x:v>
      </x:c>
      <x:c r="G114" s="122" t="n">
        <x:f>Model_Dataset!Q111</x:f>
        <x:v>179.485563</x:v>
      </x:c>
      <x:c r="H114" s="123" t="n">
        <x:f>Model_Dataset!A111</x:f>
        <x:v>110</x:v>
      </x:c>
    </x:row>
    <x:row r="115" ht="15" hidden="0" customHeight="1">
      <x:c r="A115" s="119" t="str">
        <x:f>Model_Dataset!B112</x:f>
        <x:v>Tm</x:v>
      </x:c>
      <x:c r="B115" s="119" t="str">
        <x:f>Model_Dataset!E112</x:f>
        <x:v>Single</x:v>
      </x:c>
      <x:c r="C115" s="119" t="str">
        <x:f>Model_Dataset!G112</x:f>
        <x:v>Sorption isotherm</x:v>
      </x:c>
      <x:c r="D115" s="120" t="n">
        <x:f>Model_Dataset!I112</x:f>
        <x:v>2880</x:v>
      </x:c>
      <x:c r="E115" s="121" t="n">
        <x:f>Model_Dataset!J112</x:f>
        <x:v>448.329313</x:v>
      </x:c>
      <x:c r="F115" s="121" t="n">
        <x:f>Model_Dataset!N112</x:f>
        <x:v>0.5</x:v>
      </x:c>
      <x:c r="G115" s="122" t="n">
        <x:f>Model_Dataset!Q112</x:f>
        <x:v>198.490657</x:v>
      </x:c>
      <x:c r="H115" s="123" t="n">
        <x:f>Model_Dataset!A112</x:f>
        <x:v>111</x:v>
      </x:c>
    </x:row>
    <x:row r="116" ht="15" hidden="0" customHeight="1">
      <x:c r="A116" s="119" t="str">
        <x:f>Model_Dataset!B113</x:f>
        <x:v>Tm</x:v>
      </x:c>
      <x:c r="B116" s="119" t="str">
        <x:f>Model_Dataset!E113</x:f>
        <x:v>Single</x:v>
      </x:c>
      <x:c r="C116" s="119" t="str">
        <x:f>Model_Dataset!G113</x:f>
        <x:v>Sorption isotherm</x:v>
      </x:c>
      <x:c r="D116" s="120" t="n">
        <x:f>Model_Dataset!I113</x:f>
        <x:v>2880</x:v>
      </x:c>
      <x:c r="E116" s="121" t="n">
        <x:f>Model_Dataset!J113</x:f>
        <x:v>513.364175</x:v>
      </x:c>
      <x:c r="F116" s="121" t="n">
        <x:f>Model_Dataset!N113</x:f>
        <x:v>0.5</x:v>
      </x:c>
      <x:c r="G116" s="122" t="n">
        <x:f>Model_Dataset!Q113</x:f>
        <x:v>207.993199</x:v>
      </x:c>
      <x:c r="H116" s="123" t="n">
        <x:f>Model_Dataset!A113</x:f>
        <x:v>112</x:v>
      </x:c>
    </x:row>
  </x:sheetData>
  <x:mergeCells>
    <x:mergeCell ref="A1:H1"/>
    <x:mergeCell ref="A2:H2"/>
    <x:mergeCell ref="J1:K1"/>
    <x:mergeCell ref="A3:F3"/>
    <x:mergeCell ref="J8:K14"/>
  </x:mergeCells>
  <x:pageMargins left="0.7" right="0.7" top="0.75" bottom="0.75" header="0.3" footer="0.3"/>
  <x:tableParts count="1">
    <x:tablePart xmlns:r="http://schemas.openxmlformats.org/officeDocument/2006/relationships" r:id="Rb727cfada7114762"/>
  </x:tableParts>
</x:worksheet>
</file>